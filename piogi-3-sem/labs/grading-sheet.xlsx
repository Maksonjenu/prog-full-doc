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правка" sheetId="1" state="visible" r:id="rId3"/>
    <sheet name="Настройки" sheetId="2" state="visible" r:id="rId4"/>
    <sheet name="Ведомость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<sst xmlns="http://schemas.openxmlformats.org/spreadsheetml/2006/main" count="133" uniqueCount="73">
  <si>
    <t xml:space="preserve">Справка — как пользоваться ведомостью</t>
  </si>
  <si>
    <t xml:space="preserve">Полное описание правил — в файле grading-system.md / .pdf рядом с этой таблицей. Здесь — краткая шпаргалка.</t>
  </si>
  <si>
    <t xml:space="preserve">1. На листе «Настройки» заданы веса лаб, пороги чек-листа по потокам, штрафы за защиту и просрочку. Их можно менять — все формулы на «Ведомости» ссылаются туда.</t>
  </si>
  <si>
    <t xml:space="preserve">2. На листе «Ведомость» — по одной строке на студента. Жёлтые ячейки заполняются вручную:</t>
  </si>
  <si>
    <t xml:space="preserve">    • Поток — ТТП или ТТМ (выбор из списка).</t>
  </si>
  <si>
    <t xml:space="preserve">    • Чек-лист — сколько пунктов «Критерии сдачи» лабы выполнено (просто число, из скольких — написано на «Настройках»).</t>
  </si>
  <si>
    <t xml:space="preserve">    • Git (только Лабы 1-5) — использовал ли студент git по-настоящему (несколько содержательных коммитов, не один дамп) — Да/Нет.</t>
  </si>
  <si>
    <t xml:space="preserve">    • Защита — Уверенно / Частично / Не может объяснить — по итогам ответов на 2-3 контрольных вопроса лабы.</t>
  </si>
  <si>
    <t xml:space="preserve">    • Недель просрочки — 0, если сдано в срок (2 недели на лабу); иначе 1, 2 или 3 (3 = «3 и более»).</t>
  </si>
  <si>
    <t xml:space="preserve">3. Серые ячейки (Тир, Баллы, Итого, Оценка) считаются сами — их трогать не нужно.</t>
  </si>
  <si>
    <t xml:space="preserve">4. Две первые строки — примеры (Иванов И.И. — ТТП, Петрова П.П. — ТТМ), показывают разные тиры и граничные случаи. Замените на реальных студентов или добавьте новые строки ниже (формулы нужно будет протянуть вниз, выделив последнюю заполненную строку с формулами и потянув за уголок).</t>
  </si>
  <si>
    <t xml:space="preserve">Ключевое правило, которое легко забыть: у ТТП без Git тир не выше 3, и даже тройка требует 100% чек-листа — при неполном чек-листе без git сразу тир 2, а не 3.</t>
  </si>
  <si>
    <t xml:space="preserve">5. Лаба 6 (модульное тестирование) — отдельный бонусный столбец справа. Она опциональна: если студент её не делал — оставьте чек-лист пустым, баллы за неё просто не прибавятся. У неё нет столбца «Недель просрочки» — дедлайна нет.</t>
  </si>
  <si>
    <t xml:space="preserve">6. Итого баллов теперь может быть больше 100, если взята бонусная Лаба 6 — это ожидаемо, оценка всё равно не выше 5 (порог 90+).</t>
  </si>
  <si>
    <t xml:space="preserve">Настройки БРС — ПИОГИ, 3 семестр</t>
  </si>
  <si>
    <t xml:space="preserve">Меняйте только жёлтые ячейки. Формулы на листе «Ведомость» ссылаются на эти таблицы.</t>
  </si>
  <si>
    <t xml:space="preserve">Баллы и чек-листы по лабам</t>
  </si>
  <si>
    <t xml:space="preserve">Лаба</t>
  </si>
  <si>
    <t xml:space="preserve">Вес (баллов)</t>
  </si>
  <si>
    <t xml:space="preserve">Пунктов в чек-листе</t>
  </si>
  <si>
    <t xml:space="preserve">0. Git и фигуры</t>
  </si>
  <si>
    <t xml:space="preserve">1. Редактор противников</t>
  </si>
  <si>
    <t xml:space="preserve">2. Инкапсуляция</t>
  </si>
  <si>
    <t xml:space="preserve">3. Абстракция/наследование/полиморфизм</t>
  </si>
  <si>
    <t xml:space="preserve">4. Интерфейсы</t>
  </si>
  <si>
    <t xml:space="preserve">5. Делегаты и события</t>
  </si>
  <si>
    <t xml:space="preserve">Итого</t>
  </si>
  <si>
    <t xml:space="preserve">Тиры — % от баллов лабы</t>
  </si>
  <si>
    <t xml:space="preserve">Тир</t>
  </si>
  <si>
    <t xml:space="preserve">% баллов</t>
  </si>
  <si>
    <t xml:space="preserve">Пороги чек-листа, % (ТТП)</t>
  </si>
  <si>
    <t xml:space="preserve">Порог, %</t>
  </si>
  <si>
    <t xml:space="preserve">Пороги чек-листа, % (ТТМ)</t>
  </si>
  <si>
    <t xml:space="preserve">Потолок тира — защита</t>
  </si>
  <si>
    <t xml:space="preserve">Защита</t>
  </si>
  <si>
    <t xml:space="preserve">Потолок тира</t>
  </si>
  <si>
    <t xml:space="preserve">Уверенно</t>
  </si>
  <si>
    <t xml:space="preserve">Частично</t>
  </si>
  <si>
    <t xml:space="preserve">Не может объяснить</t>
  </si>
  <si>
    <t xml:space="preserve">Потолок тира — просрочка (недель сверх дедлайна)</t>
  </si>
  <si>
    <t xml:space="preserve">Недель просрочки</t>
  </si>
  <si>
    <t xml:space="preserve">Итоговая оценка за семестр</t>
  </si>
  <si>
    <t xml:space="preserve">Мин. баллов</t>
  </si>
  <si>
    <t xml:space="preserve">Оценка</t>
  </si>
  <si>
    <t xml:space="preserve">Бонус ТТМ за добровольный git (Лабы 1-5), % от баллов лабы</t>
  </si>
  <si>
    <t xml:space="preserve">Лаба 6 — бонусная, вне суммы 100</t>
  </si>
  <si>
    <t xml:space="preserve">6. Модульное тестирование (бонус)</t>
  </si>
  <si>
    <t xml:space="preserve">Ведомость — ПИОГИ, 3 семестр</t>
  </si>
  <si>
    <t xml:space="preserve">Жёлтые ячейки — вносите вручную (чек-лист, git, защита, недели просрочки). Серые ячейки — считаются автоматически по формулам, не редактируйте их. Лаба 0 без отдельного столбца git — использование git там уже часть самого чек-листа.</t>
  </si>
  <si>
    <t xml:space="preserve">Студент</t>
  </si>
  <si>
    <t xml:space="preserve">Поток</t>
  </si>
  <si>
    <t xml:space="preserve">Лаба 0</t>
  </si>
  <si>
    <t xml:space="preserve">Лаба 1</t>
  </si>
  <si>
    <t xml:space="preserve">Лаба 2</t>
  </si>
  <si>
    <t xml:space="preserve">Лаба 3</t>
  </si>
  <si>
    <t xml:space="preserve">Лаба 4</t>
  </si>
  <si>
    <t xml:space="preserve">Лаба 5</t>
  </si>
  <si>
    <t xml:space="preserve">Лаба 6 (бонус)</t>
  </si>
  <si>
    <t xml:space="preserve">Итого баллов</t>
  </si>
  <si>
    <t xml:space="preserve">Чек-лист
(из 10)</t>
  </si>
  <si>
    <t xml:space="preserve">Недель
просрочки</t>
  </si>
  <si>
    <t xml:space="preserve">Баллы</t>
  </si>
  <si>
    <t xml:space="preserve">Чек-лист
(из 8)</t>
  </si>
  <si>
    <t xml:space="preserve">Git
(1-5)</t>
  </si>
  <si>
    <t xml:space="preserve">Чек-лист
(из 9)</t>
  </si>
  <si>
    <t xml:space="preserve">Чек-лист
(из 7)</t>
  </si>
  <si>
    <t xml:space="preserve">Чек-лист
(из 6)</t>
  </si>
  <si>
    <t xml:space="preserve">Иванов И.И. (пример)</t>
  </si>
  <si>
    <t xml:space="preserve">ТТП</t>
  </si>
  <si>
    <t xml:space="preserve">Да</t>
  </si>
  <si>
    <t xml:space="preserve">Нет</t>
  </si>
  <si>
    <t xml:space="preserve">Петрова П.П. (пример)</t>
  </si>
  <si>
    <t xml:space="preserve">ТТМ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</si>
</sst>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General"/>
    <numFmt numFmtId="167" formatCode="0.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666666"/>
      <name val="Arial"/>
      <family val="0"/>
      <charset val="1"/>
    </font>
    <font>
      <b val="true"/>
      <sz val="10"/>
      <color rgb="FF990000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D9E1F2"/>
        <bgColor rgb="FFD0E0E3"/>
      </patternFill>
    </fill>
    <fill>
      <patternFill patternType="solid">
        <fgColor rgb="FFFFF2CC"/>
        <bgColor rgb="FFFFF9E6"/>
      </patternFill>
    </fill>
    <fill>
      <patternFill patternType="solid">
        <fgColor rgb="FFFFF9E6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F2F2F2"/>
      </patternFill>
    </fill>
    <fill>
      <patternFill patternType="solid">
        <fgColor rgb="FFEAD1DC"/>
        <bgColor rgb="FFD9E1F2"/>
      </patternFill>
    </fill>
    <fill>
      <patternFill patternType="solid">
        <fgColor rgb="FFD0E0E3"/>
        <bgColor rgb="FFD9E1F2"/>
      </patternFill>
    </fill>
    <fill>
      <patternFill patternType="solid">
        <fgColor rgb="FFC9DAF8"/>
        <bgColor rgb="FFD0E0E3"/>
      </patternFill>
    </fill>
    <fill>
      <patternFill patternType="solid">
        <fgColor rgb="FFF2F2F2"/>
        <bgColor rgb="FFFFF9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/>
      <right/>
      <top/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9E6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2EFDA"/>
      <rgbColor rgb="FFFCE4D6"/>
      <rgbColor rgb="FF9DC3E6"/>
      <rgbColor rgb="FFEAD1DC"/>
      <rgbColor rgb="FFD0E0E3"/>
      <rgbColor rgb="FFFFD966"/>
      <rgbColor rgb="FF3366FF"/>
      <rgbColor rgb="FF33CCCC"/>
      <rgbColor rgb="FF99CC00"/>
      <rgbColor rgb="FFFFCC00"/>
      <rgbColor rgb="FFFF9900"/>
      <rgbColor rgb="FFFF6600"/>
      <rgbColor rgb="FF666666"/>
      <rgbColor rgb="FFA9D18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D18E"/>
    <pageSetUpPr fitToPage="false"/>
  </sheetPr>
  <dimension ref="A1:H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4"/>
  </cols>
  <sheetData>
    <row r="1" customFormat="false" ht="18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/>
      <c r="B2" s="3"/>
      <c r="C2" s="3"/>
      <c r="D2" s="3"/>
      <c r="E2" s="3"/>
      <c r="F2" s="3"/>
      <c r="G2" s="3"/>
      <c r="H2" s="3"/>
    </row>
    <row r="3" customFormat="false" ht="18" hidden="false" customHeight="true" outlineLevel="0" collapsed="false">
      <c r="A3" s="4" t="s">
        <v>1</v>
      </c>
      <c r="B3" s="4"/>
      <c r="C3" s="4"/>
      <c r="D3" s="4"/>
      <c r="E3" s="4"/>
      <c r="F3" s="4"/>
      <c r="G3" s="4"/>
      <c r="H3" s="4"/>
    </row>
    <row r="4" customFormat="false" ht="18" hidden="false" customHeight="true" outlineLevel="0" collapsed="false">
      <c r="A4" s="3"/>
      <c r="B4" s="3"/>
      <c r="C4" s="3"/>
      <c r="D4" s="3"/>
      <c r="E4" s="3"/>
      <c r="F4" s="3"/>
      <c r="G4" s="3"/>
      <c r="H4" s="3"/>
    </row>
    <row r="5" customFormat="false" ht="30" hidden="false" customHeight="true" outlineLevel="0" collapsed="false">
      <c r="A5" s="3" t="s">
        <v>2</v>
      </c>
      <c r="B5" s="3"/>
      <c r="C5" s="3"/>
      <c r="D5" s="3"/>
      <c r="E5" s="3"/>
      <c r="F5" s="3"/>
      <c r="G5" s="3"/>
      <c r="H5" s="3"/>
    </row>
    <row r="6" customFormat="false" ht="30" hidden="false" customHeight="true" outlineLevel="0" collapsed="false">
      <c r="A6" s="3" t="s">
        <v>3</v>
      </c>
      <c r="B6" s="3"/>
      <c r="C6" s="3"/>
      <c r="D6" s="3"/>
      <c r="E6" s="3"/>
      <c r="F6" s="3"/>
      <c r="G6" s="3"/>
      <c r="H6" s="3"/>
    </row>
    <row r="7" customFormat="false" ht="18" hidden="false" customHeight="true" outlineLevel="0" collapsed="false">
      <c r="A7" s="3" t="s">
        <v>4</v>
      </c>
      <c r="B7" s="3"/>
      <c r="C7" s="3"/>
      <c r="D7" s="3"/>
      <c r="E7" s="3"/>
      <c r="F7" s="3"/>
      <c r="G7" s="3"/>
      <c r="H7" s="3"/>
    </row>
    <row r="8" customFormat="false" ht="18" hidden="false" customHeight="true" outlineLevel="0" collapsed="false">
      <c r="A8" s="3" t="s">
        <v>5</v>
      </c>
      <c r="B8" s="3"/>
      <c r="C8" s="3"/>
      <c r="D8" s="3"/>
      <c r="E8" s="3"/>
      <c r="F8" s="3"/>
      <c r="G8" s="3"/>
      <c r="H8" s="3"/>
    </row>
    <row r="9" customFormat="false" ht="18" hidden="false" customHeight="true" outlineLevel="0" collapsed="false">
      <c r="A9" s="3" t="s">
        <v>6</v>
      </c>
      <c r="B9" s="3"/>
      <c r="C9" s="3"/>
      <c r="D9" s="3"/>
      <c r="E9" s="3"/>
      <c r="F9" s="3"/>
      <c r="G9" s="3"/>
      <c r="H9" s="3"/>
    </row>
    <row r="10" customFormat="false" ht="18" hidden="false" customHeight="true" outlineLevel="0" collapsed="false">
      <c r="A10" s="3" t="s">
        <v>7</v>
      </c>
      <c r="B10" s="3"/>
      <c r="C10" s="3"/>
      <c r="D10" s="3"/>
      <c r="E10" s="3"/>
      <c r="F10" s="3"/>
      <c r="G10" s="3"/>
      <c r="H10" s="3"/>
    </row>
    <row r="11" customFormat="false" ht="18" hidden="false" customHeight="true" outlineLevel="0" collapsed="false">
      <c r="A11" s="3" t="s">
        <v>8</v>
      </c>
      <c r="B11" s="3"/>
      <c r="C11" s="3"/>
      <c r="D11" s="3"/>
      <c r="E11" s="3"/>
      <c r="F11" s="3"/>
      <c r="G11" s="3"/>
      <c r="H11" s="3"/>
    </row>
    <row r="12" customFormat="false" ht="18" hidden="false" customHeight="true" outlineLevel="0" collapsed="false">
      <c r="A12" s="3" t="s">
        <v>9</v>
      </c>
      <c r="B12" s="3"/>
      <c r="C12" s="3"/>
      <c r="D12" s="3"/>
      <c r="E12" s="3"/>
      <c r="F12" s="3"/>
      <c r="G12" s="3"/>
      <c r="H12" s="3"/>
    </row>
    <row r="13" customFormat="false" ht="30" hidden="false" customHeight="true" outlineLevel="0" collapsed="false">
      <c r="A13" s="3" t="s">
        <v>10</v>
      </c>
      <c r="B13" s="3"/>
      <c r="C13" s="3"/>
      <c r="D13" s="3"/>
      <c r="E13" s="3"/>
      <c r="F13" s="3"/>
      <c r="G13" s="3"/>
      <c r="H13" s="3"/>
    </row>
    <row r="14" customFormat="false" ht="18" hidden="false" customHeight="true" outlineLevel="0" collapsed="false">
      <c r="A14" s="3"/>
      <c r="B14" s="3"/>
      <c r="C14" s="3"/>
      <c r="D14" s="3"/>
      <c r="E14" s="3"/>
      <c r="F14" s="3"/>
      <c r="G14" s="3"/>
      <c r="H14" s="3"/>
    </row>
    <row r="15" customFormat="false" ht="18" hidden="false" customHeight="true" outlineLevel="0" collapsed="false">
      <c r="A15" s="5" t="s">
        <v>11</v>
      </c>
      <c r="B15" s="5"/>
      <c r="C15" s="5"/>
      <c r="D15" s="5"/>
      <c r="E15" s="5"/>
      <c r="F15" s="5"/>
      <c r="G15" s="5"/>
      <c r="H15" s="5"/>
    </row>
    <row r="16" customFormat="false" ht="30" hidden="false" customHeight="true" outlineLevel="0" collapsed="false">
      <c r="A16" s="3" t="s">
        <v>12</v>
      </c>
      <c r="B16" s="3"/>
      <c r="C16" s="3"/>
      <c r="D16" s="3"/>
      <c r="E16" s="3"/>
      <c r="F16" s="3"/>
      <c r="G16" s="3"/>
      <c r="H16" s="3"/>
    </row>
    <row r="17" customFormat="false" ht="30" hidden="false" customHeight="true" outlineLevel="0" collapsed="false">
      <c r="A17" s="3" t="s">
        <v>13</v>
      </c>
      <c r="B17" s="3"/>
      <c r="C17" s="3"/>
      <c r="D17" s="3"/>
      <c r="E17" s="3"/>
      <c r="F17" s="3"/>
      <c r="G17" s="3"/>
      <c r="H17" s="3"/>
    </row>
  </sheetData>
  <mergeCells count="17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  <mergeCell ref="A15:H15"/>
    <mergeCell ref="A16:H16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20"/>
  </cols>
  <sheetData>
    <row r="1" customFormat="false" ht="17.25" hidden="false" customHeight="true" outlineLevel="0" collapsed="false">
      <c r="A1" s="6" t="s">
        <v>14</v>
      </c>
    </row>
    <row r="2" customFormat="false" ht="15" hidden="false" customHeight="true" outlineLevel="0" collapsed="false">
      <c r="A2" s="7" t="s">
        <v>15</v>
      </c>
    </row>
    <row r="4" customFormat="false" ht="15" hidden="false" customHeight="true" outlineLevel="0" collapsed="false">
      <c r="A4" s="8" t="s">
        <v>16</v>
      </c>
    </row>
    <row r="5" customFormat="false" ht="26.25" hidden="false" customHeight="true" outlineLevel="0" collapsed="false">
      <c r="A5" s="9" t="s">
        <v>17</v>
      </c>
      <c r="B5" s="9" t="s">
        <v>18</v>
      </c>
      <c r="C5" s="9" t="s">
        <v>19</v>
      </c>
    </row>
    <row r="6" customFormat="false" ht="15" hidden="false" customHeight="true" outlineLevel="0" collapsed="false">
      <c r="A6" s="10" t="s">
        <v>20</v>
      </c>
      <c r="B6" s="11" t="n">
        <v>10</v>
      </c>
      <c r="C6" s="11" t="n">
        <v>10</v>
      </c>
    </row>
    <row r="7" customFormat="false" ht="15" hidden="false" customHeight="true" outlineLevel="0" collapsed="false">
      <c r="A7" s="10" t="s">
        <v>21</v>
      </c>
      <c r="B7" s="11" t="n">
        <v>15</v>
      </c>
      <c r="C7" s="11" t="n">
        <v>8</v>
      </c>
    </row>
    <row r="8" customFormat="false" ht="15" hidden="false" customHeight="true" outlineLevel="0" collapsed="false">
      <c r="A8" s="10" t="s">
        <v>22</v>
      </c>
      <c r="B8" s="11" t="n">
        <v>20</v>
      </c>
      <c r="C8" s="11" t="n">
        <v>9</v>
      </c>
    </row>
    <row r="9" customFormat="false" ht="15" hidden="false" customHeight="true" outlineLevel="0" collapsed="false">
      <c r="A9" s="10" t="s">
        <v>23</v>
      </c>
      <c r="B9" s="11" t="n">
        <v>20</v>
      </c>
      <c r="C9" s="11" t="n">
        <v>7</v>
      </c>
    </row>
    <row r="10" customFormat="false" ht="15" hidden="false" customHeight="true" outlineLevel="0" collapsed="false">
      <c r="A10" s="10" t="s">
        <v>24</v>
      </c>
      <c r="B10" s="11" t="n">
        <v>20</v>
      </c>
      <c r="C10" s="11" t="n">
        <v>7</v>
      </c>
    </row>
    <row r="11" customFormat="false" ht="15" hidden="false" customHeight="true" outlineLevel="0" collapsed="false">
      <c r="A11" s="10" t="s">
        <v>25</v>
      </c>
      <c r="B11" s="11" t="n">
        <v>15</v>
      </c>
      <c r="C11" s="11" t="n">
        <v>6</v>
      </c>
    </row>
    <row r="12" customFormat="false" ht="15" hidden="false" customHeight="true" outlineLevel="0" collapsed="false">
      <c r="A12" s="12" t="s">
        <v>26</v>
      </c>
      <c r="B12" s="12" t="n">
        <f aca="false">SUM(B6:B11)</f>
        <v>100</v>
      </c>
      <c r="C12" s="13"/>
    </row>
    <row r="14" customFormat="false" ht="15" hidden="false" customHeight="true" outlineLevel="0" collapsed="false">
      <c r="A14" s="8" t="s">
        <v>27</v>
      </c>
    </row>
    <row r="15" customFormat="false" ht="15" hidden="false" customHeight="true" outlineLevel="0" collapsed="false">
      <c r="A15" s="9" t="s">
        <v>28</v>
      </c>
      <c r="B15" s="9" t="s">
        <v>29</v>
      </c>
    </row>
    <row r="16" customFormat="false" ht="15" hidden="false" customHeight="true" outlineLevel="0" collapsed="false">
      <c r="A16" s="13" t="n">
        <v>5</v>
      </c>
      <c r="B16" s="14" t="n">
        <v>1</v>
      </c>
    </row>
    <row r="17" customFormat="false" ht="15" hidden="false" customHeight="true" outlineLevel="0" collapsed="false">
      <c r="A17" s="13" t="n">
        <v>4</v>
      </c>
      <c r="B17" s="14" t="n">
        <v>0.85</v>
      </c>
    </row>
    <row r="18" customFormat="false" ht="15" hidden="false" customHeight="true" outlineLevel="0" collapsed="false">
      <c r="A18" s="13" t="n">
        <v>3</v>
      </c>
      <c r="B18" s="14" t="n">
        <v>0.65</v>
      </c>
    </row>
    <row r="19" customFormat="false" ht="15" hidden="false" customHeight="true" outlineLevel="0" collapsed="false">
      <c r="A19" s="13" t="n">
        <v>2</v>
      </c>
      <c r="B19" s="14" t="n">
        <v>0</v>
      </c>
    </row>
    <row r="21" customFormat="false" ht="15" hidden="false" customHeight="true" outlineLevel="0" collapsed="false">
      <c r="A21" s="8" t="s">
        <v>30</v>
      </c>
    </row>
    <row r="22" customFormat="false" ht="15" hidden="false" customHeight="true" outlineLevel="0" collapsed="false">
      <c r="A22" s="9" t="s">
        <v>28</v>
      </c>
      <c r="B22" s="9" t="s">
        <v>31</v>
      </c>
    </row>
    <row r="23" customFormat="false" ht="15" hidden="false" customHeight="true" outlineLevel="0" collapsed="false">
      <c r="A23" s="13" t="n">
        <v>5</v>
      </c>
      <c r="B23" s="14" t="n">
        <v>1</v>
      </c>
    </row>
    <row r="24" customFormat="false" ht="15" hidden="false" customHeight="true" outlineLevel="0" collapsed="false">
      <c r="A24" s="13" t="n">
        <v>4</v>
      </c>
      <c r="B24" s="14" t="n">
        <v>0.85</v>
      </c>
    </row>
    <row r="25" customFormat="false" ht="15" hidden="false" customHeight="true" outlineLevel="0" collapsed="false">
      <c r="A25" s="13" t="n">
        <v>3</v>
      </c>
      <c r="B25" s="14" t="n">
        <v>0.65</v>
      </c>
    </row>
    <row r="27" customFormat="false" ht="15" hidden="false" customHeight="true" outlineLevel="0" collapsed="false">
      <c r="A27" s="8" t="s">
        <v>32</v>
      </c>
    </row>
    <row r="28" customFormat="false" ht="15" hidden="false" customHeight="true" outlineLevel="0" collapsed="false">
      <c r="A28" s="9" t="s">
        <v>28</v>
      </c>
      <c r="B28" s="9" t="s">
        <v>31</v>
      </c>
    </row>
    <row r="29" customFormat="false" ht="15" hidden="false" customHeight="true" outlineLevel="0" collapsed="false">
      <c r="A29" s="13" t="n">
        <v>5</v>
      </c>
      <c r="B29" s="14" t="n">
        <v>0.9</v>
      </c>
    </row>
    <row r="30" customFormat="false" ht="15" hidden="false" customHeight="true" outlineLevel="0" collapsed="false">
      <c r="A30" s="13" t="n">
        <v>4</v>
      </c>
      <c r="B30" s="14" t="n">
        <v>0.75</v>
      </c>
    </row>
    <row r="31" customFormat="false" ht="15" hidden="false" customHeight="true" outlineLevel="0" collapsed="false">
      <c r="A31" s="13" t="n">
        <v>3</v>
      </c>
      <c r="B31" s="14" t="n">
        <v>0.5</v>
      </c>
    </row>
    <row r="33" customFormat="false" ht="15" hidden="false" customHeight="true" outlineLevel="0" collapsed="false">
      <c r="A33" s="8" t="s">
        <v>33</v>
      </c>
    </row>
    <row r="34" customFormat="false" ht="15" hidden="false" customHeight="true" outlineLevel="0" collapsed="false">
      <c r="A34" s="9" t="s">
        <v>34</v>
      </c>
      <c r="B34" s="9" t="s">
        <v>35</v>
      </c>
    </row>
    <row r="35" customFormat="false" ht="15" hidden="false" customHeight="true" outlineLevel="0" collapsed="false">
      <c r="A35" s="13" t="s">
        <v>36</v>
      </c>
      <c r="B35" s="15" t="n">
        <v>5</v>
      </c>
    </row>
    <row r="36" customFormat="false" ht="15" hidden="false" customHeight="true" outlineLevel="0" collapsed="false">
      <c r="A36" s="13" t="s">
        <v>37</v>
      </c>
      <c r="B36" s="15" t="n">
        <v>4</v>
      </c>
    </row>
    <row r="37" customFormat="false" ht="15" hidden="false" customHeight="true" outlineLevel="0" collapsed="false">
      <c r="A37" s="13" t="s">
        <v>38</v>
      </c>
      <c r="B37" s="15" t="n">
        <v>2</v>
      </c>
    </row>
    <row r="39" customFormat="false" ht="15" hidden="false" customHeight="true" outlineLevel="0" collapsed="false">
      <c r="A39" s="8" t="s">
        <v>39</v>
      </c>
    </row>
    <row r="40" customFormat="false" ht="15" hidden="false" customHeight="true" outlineLevel="0" collapsed="false">
      <c r="A40" s="9" t="s">
        <v>40</v>
      </c>
      <c r="B40" s="9" t="s">
        <v>35</v>
      </c>
    </row>
    <row r="41" customFormat="false" ht="15" hidden="false" customHeight="true" outlineLevel="0" collapsed="false">
      <c r="A41" s="13" t="n">
        <v>0</v>
      </c>
      <c r="B41" s="15" t="n">
        <v>5</v>
      </c>
    </row>
    <row r="42" customFormat="false" ht="15" hidden="false" customHeight="true" outlineLevel="0" collapsed="false">
      <c r="A42" s="13" t="n">
        <v>1</v>
      </c>
      <c r="B42" s="15" t="n">
        <v>4</v>
      </c>
    </row>
    <row r="43" customFormat="false" ht="15" hidden="false" customHeight="true" outlineLevel="0" collapsed="false">
      <c r="A43" s="13" t="n">
        <v>2</v>
      </c>
      <c r="B43" s="15" t="n">
        <v>3</v>
      </c>
    </row>
    <row r="44" customFormat="false" ht="15" hidden="false" customHeight="true" outlineLevel="0" collapsed="false">
      <c r="A44" s="13" t="n">
        <v>3</v>
      </c>
      <c r="B44" s="15" t="n">
        <v>2</v>
      </c>
    </row>
    <row r="46" customFormat="false" ht="15" hidden="false" customHeight="true" outlineLevel="0" collapsed="false">
      <c r="A46" s="8" t="s">
        <v>41</v>
      </c>
    </row>
    <row r="47" customFormat="false" ht="15" hidden="false" customHeight="true" outlineLevel="0" collapsed="false">
      <c r="A47" s="9" t="s">
        <v>42</v>
      </c>
      <c r="B47" s="9" t="s">
        <v>43</v>
      </c>
    </row>
    <row r="48" customFormat="false" ht="15" hidden="false" customHeight="true" outlineLevel="0" collapsed="false">
      <c r="A48" s="15" t="n">
        <v>0</v>
      </c>
      <c r="B48" s="13" t="n">
        <v>2</v>
      </c>
    </row>
    <row r="49" customFormat="false" ht="15" hidden="false" customHeight="true" outlineLevel="0" collapsed="false">
      <c r="A49" s="15" t="n">
        <v>60</v>
      </c>
      <c r="B49" s="13" t="n">
        <v>3</v>
      </c>
    </row>
    <row r="50" customFormat="false" ht="15" hidden="false" customHeight="true" outlineLevel="0" collapsed="false">
      <c r="A50" s="15" t="n">
        <v>75</v>
      </c>
      <c r="B50" s="13" t="n">
        <v>4</v>
      </c>
    </row>
    <row r="51" customFormat="false" ht="15" hidden="false" customHeight="true" outlineLevel="0" collapsed="false">
      <c r="A51" s="15" t="n">
        <v>90</v>
      </c>
      <c r="B51" s="13" t="n">
        <v>5</v>
      </c>
    </row>
    <row r="52" customFormat="false" ht="15" hidden="false" customHeight="true" outlineLevel="0" collapsed="false">
      <c r="A52" s="8" t="s">
        <v>44</v>
      </c>
    </row>
    <row r="53" customFormat="false" ht="15" hidden="false" customHeight="true" outlineLevel="0" collapsed="false">
      <c r="A53" s="14" t="n">
        <v>0.03</v>
      </c>
    </row>
    <row r="55" customFormat="false" ht="15" hidden="false" customHeight="true" outlineLevel="0" collapsed="false">
      <c r="A55" s="8" t="s">
        <v>45</v>
      </c>
    </row>
    <row r="56" customFormat="false" ht="15" hidden="false" customHeight="true" outlineLevel="0" collapsed="false">
      <c r="A56" s="16" t="s">
        <v>17</v>
      </c>
      <c r="B56" s="16" t="s">
        <v>18</v>
      </c>
      <c r="C56" s="16" t="s">
        <v>19</v>
      </c>
    </row>
    <row r="57" customFormat="false" ht="15" hidden="false" customHeight="true" outlineLevel="0" collapsed="false">
      <c r="A57" s="10" t="s">
        <v>46</v>
      </c>
      <c r="B57" s="17" t="n">
        <v>10</v>
      </c>
      <c r="C57" s="17" t="n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C3E6"/>
    <pageSetUpPr fitToPage="true"/>
  </sheetPr>
  <dimension ref="A1:AR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8"/>
    <col collapsed="false" customWidth="true" hidden="false" outlineLevel="0" max="3" min="3" style="1" width="9"/>
    <col collapsed="false" customWidth="true" hidden="false" outlineLevel="0" max="4" min="4" style="1" width="11"/>
    <col collapsed="false" customWidth="true" hidden="false" outlineLevel="0" max="5" min="5" style="1" width="9"/>
    <col collapsed="false" customWidth="true" hidden="false" outlineLevel="0" max="6" min="6" style="1" width="6"/>
    <col collapsed="false" customWidth="true" hidden="false" outlineLevel="0" max="7" min="7" style="1" width="8"/>
    <col collapsed="false" customWidth="true" hidden="false" outlineLevel="0" max="8" min="8" style="1" width="9"/>
    <col collapsed="false" customWidth="true" hidden="false" outlineLevel="0" max="9" min="9" style="1" width="7"/>
    <col collapsed="false" customWidth="true" hidden="false" outlineLevel="0" max="10" min="10" style="1" width="11"/>
    <col collapsed="false" customWidth="true" hidden="false" outlineLevel="0" max="11" min="11" style="1" width="9"/>
    <col collapsed="false" customWidth="true" hidden="false" outlineLevel="0" max="12" min="12" style="1" width="6"/>
    <col collapsed="false" customWidth="true" hidden="false" outlineLevel="0" max="13" min="13" style="1" width="8"/>
    <col collapsed="false" customWidth="true" hidden="false" outlineLevel="0" max="14" min="14" style="1" width="9"/>
    <col collapsed="false" customWidth="true" hidden="false" outlineLevel="0" max="15" min="15" style="1" width="7"/>
    <col collapsed="false" customWidth="true" hidden="false" outlineLevel="0" max="16" min="16" style="1" width="11"/>
    <col collapsed="false" customWidth="true" hidden="false" outlineLevel="0" max="17" min="17" style="1" width="9"/>
    <col collapsed="false" customWidth="true" hidden="false" outlineLevel="0" max="18" min="18" style="1" width="6"/>
    <col collapsed="false" customWidth="true" hidden="false" outlineLevel="0" max="19" min="19" style="1" width="8"/>
    <col collapsed="false" customWidth="true" hidden="false" outlineLevel="0" max="20" min="20" style="1" width="9"/>
    <col collapsed="false" customWidth="true" hidden="false" outlineLevel="0" max="21" min="21" style="1" width="7"/>
    <col collapsed="false" customWidth="true" hidden="false" outlineLevel="0" max="22" min="22" style="1" width="11"/>
    <col collapsed="false" customWidth="true" hidden="false" outlineLevel="0" max="23" min="23" style="1" width="9"/>
    <col collapsed="false" customWidth="true" hidden="false" outlineLevel="0" max="24" min="24" style="1" width="6"/>
    <col collapsed="false" customWidth="true" hidden="false" outlineLevel="0" max="25" min="25" style="1" width="8"/>
    <col collapsed="false" customWidth="true" hidden="false" outlineLevel="0" max="26" min="26" style="1" width="9"/>
    <col collapsed="false" customWidth="true" hidden="false" outlineLevel="0" max="27" min="27" style="1" width="7"/>
    <col collapsed="false" customWidth="true" hidden="false" outlineLevel="0" max="28" min="28" style="1" width="11"/>
    <col collapsed="false" customWidth="true" hidden="false" outlineLevel="0" max="29" min="29" style="1" width="9"/>
    <col collapsed="false" customWidth="true" hidden="false" outlineLevel="0" max="30" min="30" style="1" width="6"/>
    <col collapsed="false" customWidth="true" hidden="false" outlineLevel="0" max="31" min="31" style="1" width="8"/>
    <col collapsed="false" customWidth="true" hidden="false" outlineLevel="0" max="32" min="32" style="1" width="9"/>
    <col collapsed="false" customWidth="true" hidden="false" outlineLevel="0" max="33" min="33" style="1" width="7"/>
    <col collapsed="false" customWidth="true" hidden="false" outlineLevel="0" max="34" min="34" style="1" width="11"/>
    <col collapsed="false" customWidth="true" hidden="false" outlineLevel="0" max="35" min="35" style="1" width="9"/>
    <col collapsed="false" customWidth="true" hidden="false" outlineLevel="0" max="36" min="36" style="1" width="6"/>
    <col collapsed="false" customWidth="true" hidden="false" outlineLevel="0" max="37" min="37" style="1" width="8"/>
    <col collapsed="false" customWidth="true" hidden="false" outlineLevel="0" max="38" min="38" style="1" width="9"/>
    <col collapsed="false" customWidth="true" hidden="false" outlineLevel="0" max="39" min="39" style="1" width="7"/>
    <col collapsed="false" customWidth="true" hidden="false" outlineLevel="0" max="40" min="40" style="1" width="11"/>
    <col collapsed="false" customWidth="true" hidden="false" outlineLevel="0" max="41" min="41" style="1" width="6"/>
    <col collapsed="false" customWidth="true" hidden="false" outlineLevel="0" max="42" min="42" style="1" width="8"/>
    <col collapsed="false" customWidth="true" hidden="false" outlineLevel="0" max="43" min="43" style="1" width="11"/>
    <col collapsed="false" customWidth="true" hidden="false" outlineLevel="0" max="44" min="44" style="1" width="9"/>
  </cols>
  <sheetData>
    <row r="1" customFormat="false" ht="17.25" hidden="false" customHeight="true" outlineLevel="0" collapsed="false">
      <c r="A1" s="6" t="s">
        <v>47</v>
      </c>
    </row>
    <row r="2" customFormat="false" ht="21.75" hidden="false" customHeight="true" outlineLevel="0" collapsed="false">
      <c r="A2" s="18" t="s">
        <v>48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</row>
    <row r="4" customFormat="false" ht="21.75" hidden="false" customHeight="true" outlineLevel="0" collapsed="false">
      <c r="A4" s="9" t="s">
        <v>49</v>
      </c>
      <c r="B4" s="9" t="s">
        <v>50</v>
      </c>
      <c r="C4" s="19" t="s">
        <v>51</v>
      </c>
      <c r="D4" s="19"/>
      <c r="E4" s="19"/>
      <c r="F4" s="19"/>
      <c r="G4" s="19"/>
      <c r="H4" s="20" t="s">
        <v>52</v>
      </c>
      <c r="I4" s="20"/>
      <c r="J4" s="20"/>
      <c r="K4" s="20"/>
      <c r="L4" s="20"/>
      <c r="M4" s="20"/>
      <c r="N4" s="21" t="s">
        <v>53</v>
      </c>
      <c r="O4" s="21"/>
      <c r="P4" s="21"/>
      <c r="Q4" s="21"/>
      <c r="R4" s="21"/>
      <c r="S4" s="21"/>
      <c r="T4" s="22" t="s">
        <v>54</v>
      </c>
      <c r="U4" s="22"/>
      <c r="V4" s="22"/>
      <c r="W4" s="22"/>
      <c r="X4" s="22"/>
      <c r="Y4" s="22"/>
      <c r="Z4" s="23" t="s">
        <v>55</v>
      </c>
      <c r="AA4" s="23"/>
      <c r="AB4" s="23"/>
      <c r="AC4" s="23"/>
      <c r="AD4" s="23"/>
      <c r="AE4" s="23"/>
      <c r="AF4" s="24" t="s">
        <v>56</v>
      </c>
      <c r="AG4" s="24"/>
      <c r="AH4" s="24"/>
      <c r="AI4" s="24"/>
      <c r="AJ4" s="24"/>
      <c r="AK4" s="24"/>
      <c r="AL4" s="25" t="s">
        <v>57</v>
      </c>
      <c r="AM4" s="26"/>
      <c r="AQ4" s="9" t="s">
        <v>58</v>
      </c>
      <c r="AR4" s="9" t="s">
        <v>43</v>
      </c>
    </row>
    <row r="5" customFormat="false" ht="30" hidden="false" customHeight="true" outlineLevel="0" collapsed="false">
      <c r="A5" s="9"/>
      <c r="B5" s="9"/>
      <c r="C5" s="27" t="s">
        <v>59</v>
      </c>
      <c r="D5" s="27" t="s">
        <v>34</v>
      </c>
      <c r="E5" s="27" t="s">
        <v>60</v>
      </c>
      <c r="F5" s="27" t="s">
        <v>28</v>
      </c>
      <c r="G5" s="27" t="s">
        <v>61</v>
      </c>
      <c r="H5" s="28" t="s">
        <v>62</v>
      </c>
      <c r="I5" s="28" t="s">
        <v>63</v>
      </c>
      <c r="J5" s="28" t="s">
        <v>34</v>
      </c>
      <c r="K5" s="28" t="s">
        <v>60</v>
      </c>
      <c r="L5" s="28" t="s">
        <v>28</v>
      </c>
      <c r="M5" s="28" t="s">
        <v>61</v>
      </c>
      <c r="N5" s="29" t="s">
        <v>64</v>
      </c>
      <c r="O5" s="29" t="s">
        <v>63</v>
      </c>
      <c r="P5" s="29" t="s">
        <v>34</v>
      </c>
      <c r="Q5" s="29" t="s">
        <v>60</v>
      </c>
      <c r="R5" s="29" t="s">
        <v>28</v>
      </c>
      <c r="S5" s="29" t="s">
        <v>61</v>
      </c>
      <c r="T5" s="30" t="s">
        <v>65</v>
      </c>
      <c r="U5" s="30" t="s">
        <v>63</v>
      </c>
      <c r="V5" s="30" t="s">
        <v>34</v>
      </c>
      <c r="W5" s="30" t="s">
        <v>60</v>
      </c>
      <c r="X5" s="30" t="s">
        <v>28</v>
      </c>
      <c r="Y5" s="30" t="s">
        <v>61</v>
      </c>
      <c r="Z5" s="31" t="s">
        <v>65</v>
      </c>
      <c r="AA5" s="31" t="s">
        <v>63</v>
      </c>
      <c r="AB5" s="31" t="s">
        <v>34</v>
      </c>
      <c r="AC5" s="31" t="s">
        <v>60</v>
      </c>
      <c r="AD5" s="31" t="s">
        <v>28</v>
      </c>
      <c r="AE5" s="31" t="s">
        <v>61</v>
      </c>
      <c r="AF5" s="32" t="s">
        <v>66</v>
      </c>
      <c r="AG5" s="32" t="s">
        <v>63</v>
      </c>
      <c r="AH5" s="32" t="s">
        <v>34</v>
      </c>
      <c r="AI5" s="32" t="s">
        <v>60</v>
      </c>
      <c r="AJ5" s="32" t="s">
        <v>28</v>
      </c>
      <c r="AK5" s="32" t="s">
        <v>61</v>
      </c>
      <c r="AL5" s="25"/>
      <c r="AM5" s="25"/>
      <c r="AN5" s="33" t="s">
        <v>34</v>
      </c>
      <c r="AO5" s="33" t="s">
        <v>28</v>
      </c>
      <c r="AP5" s="33" t="s">
        <v>61</v>
      </c>
      <c r="AQ5" s="9"/>
      <c r="AR5" s="9"/>
    </row>
    <row r="6" customFormat="false" ht="15" hidden="false" customHeight="true" outlineLevel="0" collapsed="false">
      <c r="A6" s="10" t="s">
        <v>67</v>
      </c>
      <c r="B6" s="34" t="s">
        <v>68</v>
      </c>
      <c r="C6" s="34" t="n">
        <v>10</v>
      </c>
      <c r="D6" s="34" t="s">
        <v>36</v>
      </c>
      <c r="E6" s="34" t="n">
        <v>0</v>
      </c>
      <c r="F6" s="35" t="n">
        <f aca="false">IF(OR($A6="",C6=""),"",MIN(IF($B6="ТТП",IF(C6/Настройки!$C$6&gt;=Настройки!$B$23,5,IF(C6/Настройки!$C$6&gt;=Настройки!$B$24,4,IF(C6/Настройки!$C$6&gt;=Настройки!$B$25,3,2))),IF($B6="ТТМ",IF(C6/Настройки!$C$6&gt;=Настройки!$B$29,5,IF(C6/Настройки!$C$6&gt;=Настройки!$B$30,4,IF(C6/Настройки!$C$6&gt;=Настройки!$B$31,3,2))),"")),IFERROR(VLOOKUP(D6,Настройки!$A$35:$B$37,2,FALSE()),5),IFERROR(VLOOKUP(E6,Настройки!$A$41:$B$44,2,FALSE()),5)))</f>
        <v>5</v>
      </c>
      <c r="G6" s="36" t="n">
        <f aca="false">IF(F6="","",Настройки!$B$6*VLOOKUP(F6,Настройки!$A$16:$B$19,2,FALSE()))</f>
        <v>10</v>
      </c>
      <c r="H6" s="34" t="n">
        <v>8</v>
      </c>
      <c r="I6" s="34" t="s">
        <v>69</v>
      </c>
      <c r="J6" s="34" t="s">
        <v>36</v>
      </c>
      <c r="K6" s="34" t="n">
        <v>0</v>
      </c>
      <c r="L6" s="35" t="n">
        <f aca="false">IF(OR($A6="",H6=""),"",MIN(IF($B6="ТТП",IF(H6/Настройки!$C$7&gt;=Настройки!$B$23,5,IF(H6/Настройки!$C$7&gt;=Настройки!$B$24,4,IF(H6/Настройки!$C$7&gt;=Настройки!$B$25,3,2))),IF($B6="ТТМ",IF(H6/Настройки!$C$7&gt;=Настройки!$B$29,5,IF(H6/Настройки!$C$7&gt;=Настройки!$B$30,4,IF(H6/Настройки!$C$7&gt;=Настройки!$B$31,3,2))),"")),IF($B6&lt;&gt;"ТТП",5,IF(I6="Да",5,4)),IFERROR(VLOOKUP(J6,Настройки!$A$35:$B$37,2,FALSE()),5),IFERROR(VLOOKUP(K6,Настройки!$A$41:$B$44,2,FALSE()),5)))</f>
        <v>5</v>
      </c>
      <c r="M6" s="36" t="n">
        <f aca="false">IF(L6="","",MIN(Настройки!$B$7,Настройки!$B$7*VLOOKUP(L6,Настройки!$A$16:$B$19,2,FALSE())+IF(AND($B6="ТТМ",I6="Да"),Настройки!$B$7*Настройки!$A$53,0)))</f>
        <v>15</v>
      </c>
      <c r="N6" s="34" t="n">
        <v>9</v>
      </c>
      <c r="O6" s="34" t="s">
        <v>69</v>
      </c>
      <c r="P6" s="34" t="s">
        <v>36</v>
      </c>
      <c r="Q6" s="34" t="n">
        <v>0</v>
      </c>
      <c r="R6" s="35" t="n">
        <f aca="false">IF(OR($A6="",N6=""),"",MIN(IF($B6="ТТП",IF(N6/Настройки!$C$8&gt;=Настройки!$B$23,5,IF(N6/Настройки!$C$8&gt;=Настройки!$B$24,4,IF(N6/Настройки!$C$8&gt;=Настройки!$B$25,3,2))),IF($B6="ТТМ",IF(N6/Настройки!$C$8&gt;=Настройки!$B$29,5,IF(N6/Настройки!$C$8&gt;=Настройки!$B$30,4,IF(N6/Настройки!$C$8&gt;=Настройки!$B$31,3,2))),"")),IF($B6&lt;&gt;"ТТП",5,IF(O6="Да",5,4)),IFERROR(VLOOKUP(P6,Настройки!$A$35:$B$37,2,FALSE()),5),IFERROR(VLOOKUP(Q6,Настройки!$A$41:$B$44,2,FALSE()),5)))</f>
        <v>5</v>
      </c>
      <c r="S6" s="36" t="n">
        <f aca="false">IF(R6="","",MIN(Настройки!$B$8,Настройки!$B$8*VLOOKUP(R6,Настройки!$A$16:$B$19,2,FALSE())+IF(AND($B6="ТТМ",O6="Да"),Настройки!$B$8*Настройки!$A$53,0)))</f>
        <v>20</v>
      </c>
      <c r="T6" s="34" t="n">
        <v>7</v>
      </c>
      <c r="U6" s="34" t="s">
        <v>70</v>
      </c>
      <c r="V6" s="34" t="s">
        <v>36</v>
      </c>
      <c r="W6" s="34" t="n">
        <v>0</v>
      </c>
      <c r="X6" s="35" t="n">
        <f aca="false">IF(OR($A6="",T6=""),"",MIN(IF($B6="ТТП",IF(T6/Настройки!$C$9&gt;=Настройки!$B$23,5,IF(T6/Настройки!$C$9&gt;=Настройки!$B$24,4,IF(T6/Настройки!$C$9&gt;=Настройки!$B$25,3,2))),IF($B6="ТТМ",IF(T6/Настройки!$C$9&gt;=Настройки!$B$29,5,IF(T6/Настройки!$C$9&gt;=Настройки!$B$30,4,IF(T6/Настройки!$C$9&gt;=Настройки!$B$31,3,2))),"")),IF($B6&lt;&gt;"ТТП",5,IF(U6="Да",5,4)),IFERROR(VLOOKUP(V6,Настройки!$A$35:$B$37,2,FALSE()),5),IFERROR(VLOOKUP(W6,Настройки!$A$41:$B$44,2,FALSE()),5)))</f>
        <v>4</v>
      </c>
      <c r="Y6" s="36" t="n">
        <f aca="false">IF(X6="","",MIN(Настройки!$B$9,Настройки!$B$9*VLOOKUP(X6,Настройки!$A$16:$B$19,2,FALSE())+IF(AND($B6="ТТМ",U6="Да"),Настройки!$B$9*Настройки!$A$53,0)))</f>
        <v>17</v>
      </c>
      <c r="Z6" s="34" t="n">
        <v>5</v>
      </c>
      <c r="AA6" s="34" t="s">
        <v>69</v>
      </c>
      <c r="AB6" s="34" t="s">
        <v>37</v>
      </c>
      <c r="AC6" s="34" t="n">
        <v>1</v>
      </c>
      <c r="AD6" s="35" t="n">
        <f aca="false">IF(OR($A6="",Z6=""),"",MIN(IF($B6="ТТП",IF(Z6/Настройки!$C$10&gt;=Настройки!$B$23,5,IF(Z6/Настройки!$C$10&gt;=Настройки!$B$24,4,IF(Z6/Настройки!$C$10&gt;=Настройки!$B$25,3,2))),IF($B6="ТТМ",IF(Z6/Настройки!$C$10&gt;=Настройки!$B$29,5,IF(Z6/Настройки!$C$10&gt;=Настройки!$B$30,4,IF(Z6/Настройки!$C$10&gt;=Настройки!$B$31,3,2))),"")),IF($B6&lt;&gt;"ТТП",5,IF(AA6="Да",5,4)),IFERROR(VLOOKUP(AB6,Настройки!$A$35:$B$37,2,FALSE()),5),IFERROR(VLOOKUP(AC6,Настройки!$A$41:$B$44,2,FALSE()),5)))</f>
        <v>3</v>
      </c>
      <c r="AE6" s="36" t="n">
        <f aca="false">IF(AD6="","",MIN(Настройки!$B$10,Настройки!$B$10*VLOOKUP(AD6,Настройки!$A$16:$B$19,2,FALSE())+IF(AND($B6="ТТМ",AA6="Да"),Настройки!$B$10*Настройки!$A$53,0)))</f>
        <v>13</v>
      </c>
      <c r="AF6" s="34" t="n">
        <v>3</v>
      </c>
      <c r="AG6" s="34" t="s">
        <v>70</v>
      </c>
      <c r="AH6" s="34" t="s">
        <v>38</v>
      </c>
      <c r="AI6" s="34" t="n">
        <v>3</v>
      </c>
      <c r="AJ6" s="35" t="n">
        <f aca="false">IF(OR($A6="",AF6=""),"",MIN(IF($B6="ТТП",IF(AF6/Настройки!$C$11&gt;=Настройки!$B$23,5,IF(AF6/Настройки!$C$11&gt;=Настройки!$B$24,4,IF(AF6/Настройки!$C$11&gt;=Настройки!$B$25,3,2))),IF($B6="ТТМ",IF(AF6/Настройки!$C$11&gt;=Настройки!$B$29,5,IF(AF6/Настройки!$C$11&gt;=Настройки!$B$30,4,IF(AF6/Настройки!$C$11&gt;=Настройки!$B$31,3,2))),"")),IF($B6&lt;&gt;"ТТП",5,IF(AG6="Да",5,4)),IFERROR(VLOOKUP(AH6,Настройки!$A$35:$B$37,2,FALSE()),5),IFERROR(VLOOKUP(AI6,Настройки!$A$41:$B$44,2,FALSE()),5)))</f>
        <v>2</v>
      </c>
      <c r="AK6" s="36" t="n">
        <f aca="false">IF(AJ6="","",MIN(Настройки!$B$11,Настройки!$B$11*VLOOKUP(AJ6,Настройки!$A$16:$B$19,2,FALSE())+IF(AND($B6="ТТМ",AG6="Да"),Настройки!$B$11*Настройки!$A$53,0)))</f>
        <v>0</v>
      </c>
      <c r="AL6" s="34" t="n">
        <v>9</v>
      </c>
      <c r="AM6" s="34" t="s">
        <v>69</v>
      </c>
      <c r="AN6" s="34" t="s">
        <v>36</v>
      </c>
      <c r="AO6" s="35" t="n">
        <f aca="false">IF(OR($A6="",AL6=""),"",MIN(IF($B6="ТТП",IF(AL6/Настройки!$C$57&gt;=Настройки!$B$23,5,IF(AL6/Настройки!$C$57&gt;=Настройки!$B$24,4,IF(AL6/Настройки!$C$57&gt;=Настройки!$B$25,3,2))),IF($B6="ТТМ",IF(AL6/Настройки!$C$57&gt;=Настройки!$B$29,5,IF(AL6/Настройки!$C$57&gt;=Настройки!$B$30,4,IF(AL6/Настройки!$C$57&gt;=Настройки!$B$31,3,2))),"")),IF($B6&lt;&gt;"ТТП",5,IF(AM6="Да",5,4)),IFERROR(VLOOKUP(AN6,Настройки!$A$35:$B$37,2,FALSE()),5)))</f>
        <v>5</v>
      </c>
      <c r="AP6" s="36" t="n">
        <f aca="false">IF(AO6="","",MIN(Настройки!$B$57,Настройки!$B$57*VLOOKUP(AO6,Настройки!$A$16:$B$19,2,FALSE())+IF(AND($B6="ТТМ",AM6="Да"),Настройки!$B$57*Настройки!$A$53,0)))</f>
        <v>10</v>
      </c>
      <c r="AQ6" s="36" t="n">
        <f aca="false">IF($A6="","",SUM(G6,M6,S6,Y6,AE6,AK6)+IF(AP6="",0,AP6))</f>
        <v>85</v>
      </c>
      <c r="AR6" s="37" t="n">
        <f aca="false">IF(AQ6="","",VLOOKUP(AQ6,Настройки!$A$48:$B$51,2,TRUE()))</f>
        <v>4</v>
      </c>
    </row>
    <row r="7" customFormat="false" ht="15" hidden="false" customHeight="true" outlineLevel="0" collapsed="false">
      <c r="A7" s="10" t="s">
        <v>71</v>
      </c>
      <c r="B7" s="34" t="s">
        <v>72</v>
      </c>
      <c r="C7" s="34" t="n">
        <v>9</v>
      </c>
      <c r="D7" s="34" t="s">
        <v>36</v>
      </c>
      <c r="E7" s="34" t="n">
        <v>0</v>
      </c>
      <c r="F7" s="35" t="n">
        <f aca="false">IF(OR($A7="",C7=""),"",MIN(IF($B7="ТТП",IF(C7/Настройки!$C$6&gt;=Настройки!$B$23,5,IF(C7/Настройки!$C$6&gt;=Настройки!$B$24,4,IF(C7/Настройки!$C$6&gt;=Настройки!$B$25,3,2))),IF($B7="ТТМ",IF(C7/Настройки!$C$6&gt;=Настройки!$B$29,5,IF(C7/Настройки!$C$6&gt;=Настройки!$B$30,4,IF(C7/Настройки!$C$6&gt;=Настройки!$B$31,3,2))),"")),IFERROR(VLOOKUP(D7,Настройки!$A$35:$B$37,2,FALSE()),5),IFERROR(VLOOKUP(E7,Настройки!$A$41:$B$44,2,FALSE()),5)))</f>
        <v>5</v>
      </c>
      <c r="G7" s="36" t="n">
        <f aca="false">IF(F7="","",Настройки!$B$6*VLOOKUP(F7,Настройки!$A$16:$B$19,2,FALSE()))</f>
        <v>10</v>
      </c>
      <c r="H7" s="34" t="n">
        <v>6</v>
      </c>
      <c r="I7" s="34" t="s">
        <v>70</v>
      </c>
      <c r="J7" s="34" t="s">
        <v>36</v>
      </c>
      <c r="K7" s="34" t="n">
        <v>0</v>
      </c>
      <c r="L7" s="35" t="n">
        <f aca="false">IF(OR($A7="",H7=""),"",MIN(IF($B7="ТТП",IF(H7/Настройки!$C$7&gt;=Настройки!$B$23,5,IF(H7/Настройки!$C$7&gt;=Настройки!$B$24,4,IF(H7/Настройки!$C$7&gt;=Настройки!$B$25,3,2))),IF($B7="ТТМ",IF(H7/Настройки!$C$7&gt;=Настройки!$B$29,5,IF(H7/Настройки!$C$7&gt;=Настройки!$B$30,4,IF(H7/Настройки!$C$7&gt;=Настройки!$B$31,3,2))),"")),IF($B7&lt;&gt;"ТТП",5,IF(I7="Да",5,4)),IFERROR(VLOOKUP(J7,Настройки!$A$35:$B$37,2,FALSE()),5),IFERROR(VLOOKUP(K7,Настройки!$A$41:$B$44,2,FALSE()),5)))</f>
        <v>4</v>
      </c>
      <c r="M7" s="36" t="n">
        <f aca="false">IF(L7="","",MIN(Настройки!$B$7,Настройки!$B$7*VLOOKUP(L7,Настройки!$A$16:$B$19,2,FALSE())+IF(AND($B7="ТТМ",I7="Да"),Настройки!$B$7*Настройки!$A$53,0)))</f>
        <v>12.75</v>
      </c>
      <c r="N7" s="34" t="n">
        <v>8</v>
      </c>
      <c r="O7" s="34" t="s">
        <v>69</v>
      </c>
      <c r="P7" s="34" t="s">
        <v>36</v>
      </c>
      <c r="Q7" s="34" t="n">
        <v>0</v>
      </c>
      <c r="R7" s="35" t="n">
        <f aca="false">IF(OR($A7="",N7=""),"",MIN(IF($B7="ТТП",IF(N7/Настройки!$C$8&gt;=Настройки!$B$23,5,IF(N7/Настройки!$C$8&gt;=Настройки!$B$24,4,IF(N7/Настройки!$C$8&gt;=Настройки!$B$25,3,2))),IF($B7="ТТМ",IF(N7/Настройки!$C$8&gt;=Настройки!$B$29,5,IF(N7/Настройки!$C$8&gt;=Настройки!$B$30,4,IF(N7/Настройки!$C$8&gt;=Настройки!$B$31,3,2))),"")),IF($B7&lt;&gt;"ТТП",5,IF(O7="Да",5,4)),IFERROR(VLOOKUP(P7,Настройки!$A$35:$B$37,2,FALSE()),5),IFERROR(VLOOKUP(Q7,Настройки!$A$41:$B$44,2,FALSE()),5)))</f>
        <v>4</v>
      </c>
      <c r="S7" s="36" t="n">
        <f aca="false">IF(R7="","",MIN(Настройки!$B$8,Настройки!$B$8*VLOOKUP(R7,Настройки!$A$16:$B$19,2,FALSE())+IF(AND($B7="ТТМ",O7="Да"),Настройки!$B$8*Настройки!$A$53,0)))</f>
        <v>17.6</v>
      </c>
      <c r="T7" s="34" t="n">
        <v>6</v>
      </c>
      <c r="U7" s="34" t="s">
        <v>70</v>
      </c>
      <c r="V7" s="34" t="s">
        <v>37</v>
      </c>
      <c r="W7" s="34" t="n">
        <v>1</v>
      </c>
      <c r="X7" s="35" t="n">
        <f aca="false">IF(OR($A7="",T7=""),"",MIN(IF($B7="ТТП",IF(T7/Настройки!$C$9&gt;=Настройки!$B$23,5,IF(T7/Настройки!$C$9&gt;=Настройки!$B$24,4,IF(T7/Настройки!$C$9&gt;=Настройки!$B$25,3,2))),IF($B7="ТТМ",IF(T7/Настройки!$C$9&gt;=Настройки!$B$29,5,IF(T7/Настройки!$C$9&gt;=Настройки!$B$30,4,IF(T7/Настройки!$C$9&gt;=Настройки!$B$31,3,2))),"")),IF($B7&lt;&gt;"ТТП",5,IF(U7="Да",5,4)),IFERROR(VLOOKUP(V7,Настройки!$A$35:$B$37,2,FALSE()),5),IFERROR(VLOOKUP(W7,Настройки!$A$41:$B$44,2,FALSE()),5)))</f>
        <v>4</v>
      </c>
      <c r="Y7" s="36" t="n">
        <f aca="false">IF(X7="","",MIN(Настройки!$B$9,Настройки!$B$9*VLOOKUP(X7,Настройки!$A$16:$B$19,2,FALSE())+IF(AND($B7="ТТМ",U7="Да"),Настройки!$B$9*Настройки!$A$53,0)))</f>
        <v>17</v>
      </c>
      <c r="Z7" s="34" t="n">
        <v>4</v>
      </c>
      <c r="AA7" s="34" t="s">
        <v>70</v>
      </c>
      <c r="AB7" s="34" t="s">
        <v>36</v>
      </c>
      <c r="AC7" s="34" t="n">
        <v>0</v>
      </c>
      <c r="AD7" s="35" t="n">
        <f aca="false">IF(OR($A7="",Z7=""),"",MIN(IF($B7="ТТП",IF(Z7/Настройки!$C$10&gt;=Настройки!$B$23,5,IF(Z7/Настройки!$C$10&gt;=Настройки!$B$24,4,IF(Z7/Настройки!$C$10&gt;=Настройки!$B$25,3,2))),IF($B7="ТТМ",IF(Z7/Настройки!$C$10&gt;=Настройки!$B$29,5,IF(Z7/Настройки!$C$10&gt;=Настройки!$B$30,4,IF(Z7/Настройки!$C$10&gt;=Настройки!$B$31,3,2))),"")),IF($B7&lt;&gt;"ТТП",5,IF(AA7="Да",5,4)),IFERROR(VLOOKUP(AB7,Настройки!$A$35:$B$37,2,FALSE()),5),IFERROR(VLOOKUP(AC7,Настройки!$A$41:$B$44,2,FALSE()),5)))</f>
        <v>3</v>
      </c>
      <c r="AE7" s="36" t="n">
        <f aca="false">IF(AD7="","",MIN(Настройки!$B$10,Настройки!$B$10*VLOOKUP(AD7,Настройки!$A$16:$B$19,2,FALSE())+IF(AND($B7="ТТМ",AA7="Да"),Настройки!$B$10*Настройки!$A$53,0)))</f>
        <v>13</v>
      </c>
      <c r="AF7" s="34" t="n">
        <v>2</v>
      </c>
      <c r="AG7" s="34" t="s">
        <v>70</v>
      </c>
      <c r="AH7" s="34" t="s">
        <v>38</v>
      </c>
      <c r="AI7" s="34" t="n">
        <v>2</v>
      </c>
      <c r="AJ7" s="35" t="n">
        <f aca="false">IF(OR($A7="",AF7=""),"",MIN(IF($B7="ТТП",IF(AF7/Настройки!$C$11&gt;=Настройки!$B$23,5,IF(AF7/Настройки!$C$11&gt;=Настройки!$B$24,4,IF(AF7/Настройки!$C$11&gt;=Настройки!$B$25,3,2))),IF($B7="ТТМ",IF(AF7/Настройки!$C$11&gt;=Настройки!$B$29,5,IF(AF7/Настройки!$C$11&gt;=Настройки!$B$30,4,IF(AF7/Настройки!$C$11&gt;=Настройки!$B$31,3,2))),"")),IF($B7&lt;&gt;"ТТП",5,IF(AG7="Да",5,4)),IFERROR(VLOOKUP(AH7,Настройки!$A$35:$B$37,2,FALSE()),5),IFERROR(VLOOKUP(AI7,Настройки!$A$41:$B$44,2,FALSE()),5)))</f>
        <v>2</v>
      </c>
      <c r="AK7" s="36" t="n">
        <f aca="false">IF(AJ7="","",MIN(Настройки!$B$11,Настройки!$B$11*VLOOKUP(AJ7,Настройки!$A$16:$B$19,2,FALSE())+IF(AND($B7="ТТМ",AG7="Да"),Настройки!$B$11*Настройки!$A$53,0)))</f>
        <v>0</v>
      </c>
      <c r="AL7" s="34"/>
      <c r="AM7" s="34"/>
      <c r="AN7" s="34"/>
      <c r="AO7" s="35" t="str">
        <f aca="false">IF(OR($A7="",AL7=""),"",MIN(IF($B7="ТТП",IF(AL7/Настройки!$C$57&gt;=Настройки!$B$23,5,IF(AL7/Настройки!$C$57&gt;=Настройки!$B$24,4,IF(AL7/Настройки!$C$57&gt;=Настройки!$B$25,3,2))),IF($B7="ТТМ",IF(AL7/Настройки!$C$57&gt;=Настройки!$B$29,5,IF(AL7/Настройки!$C$57&gt;=Настройки!$B$30,4,IF(AL7/Настройки!$C$57&gt;=Настройки!$B$31,3,2))),"")),IF($B7&lt;&gt;"ТТП",5,IF(AM7="Да",5,4)),IFERROR(VLOOKUP(AN7,Настройки!$A$35:$B$37,2,FALSE()),5)))</f>
        <v/>
      </c>
      <c r="AP7" s="36" t="str">
        <f aca="false">IF(AO7="","",MIN(Настройки!$B$57,Настройки!$B$57*VLOOKUP(AO7,Настройки!$A$16:$B$19,2,FALSE())+IF(AND($B7="ТТМ",AM7="Да"),Настройки!$B$57*Настройки!$A$53,0)))</f>
        <v/>
      </c>
      <c r="AQ7" s="36" t="n">
        <f aca="false">IF($A7="","",SUM(G7,M7,S7,Y7,AE7,AK7)+IF(AP7="",0,AP7))</f>
        <v>70.35</v>
      </c>
      <c r="AR7" s="37" t="n">
        <f aca="false">IF(AQ7="","",VLOOKUP(AQ7,Настройки!$A$48:$B$51,2,TRUE()))</f>
        <v>3</v>
      </c>
    </row>
    <row r="8" customFormat="false" ht="15" hidden="false" customHeight="true" outlineLevel="0" collapsed="false">
      <c r="A8" s="10"/>
      <c r="B8" s="34"/>
      <c r="C8" s="34"/>
      <c r="D8" s="34"/>
      <c r="E8" s="34"/>
      <c r="F8" s="35" t="str">
        <f aca="false">IF(OR($A8="",C8=""),"",MIN(IF($B8="ТТП",IF(C8/Настройки!$C$6&gt;=Настройки!$B$23,5,IF(C8/Настройки!$C$6&gt;=Настройки!$B$24,4,IF(C8/Настройки!$C$6&gt;=Настройки!$B$25,3,2))),IF($B8="ТТМ",IF(C8/Настройки!$C$6&gt;=Настройки!$B$29,5,IF(C8/Настройки!$C$6&gt;=Настройки!$B$30,4,IF(C8/Настройки!$C$6&gt;=Настройки!$B$31,3,2))),"")),IFERROR(VLOOKUP(D8,Настройки!$A$35:$B$37,2,FALSE()),5),IFERROR(VLOOKUP(E8,Настройки!$A$41:$B$44,2,FALSE()),5)))</f>
        <v/>
      </c>
      <c r="G8" s="36" t="str">
        <f aca="false">IF(F8="","",Настройки!$B$6*VLOOKUP(F8,Настройки!$A$16:$B$19,2,FALSE()))</f>
        <v/>
      </c>
      <c r="H8" s="34"/>
      <c r="I8" s="34"/>
      <c r="J8" s="34"/>
      <c r="K8" s="34"/>
      <c r="L8" s="35" t="str">
        <f aca="false">IF(OR($A8="",H8=""),"",MIN(IF($B8="ТТП",IF(H8/Настройки!$C$7&gt;=Настройки!$B$23,5,IF(H8/Настройки!$C$7&gt;=Настройки!$B$24,4,IF(H8/Настройки!$C$7&gt;=Настройки!$B$25,3,2))),IF($B8="ТТМ",IF(H8/Настройки!$C$7&gt;=Настройки!$B$29,5,IF(H8/Настройки!$C$7&gt;=Настройки!$B$30,4,IF(H8/Настройки!$C$7&gt;=Настройки!$B$31,3,2))),"")),IF($B8&lt;&gt;"ТТП",5,IF(I8="Да",5,4)),IFERROR(VLOOKUP(J8,Настройки!$A$35:$B$37,2,FALSE()),5),IFERROR(VLOOKUP(K8,Настройки!$A$41:$B$44,2,FALSE()),5)))</f>
        <v/>
      </c>
      <c r="M8" s="36" t="str">
        <f aca="false">IF(L8="","",MIN(Настройки!$B$7,Настройки!$B$7*VLOOKUP(L8,Настройки!$A$16:$B$19,2,FALSE())+IF(AND($B8="ТТМ",I8="Да"),Настройки!$B$7*Настройки!$A$53,0)))</f>
        <v/>
      </c>
      <c r="N8" s="34"/>
      <c r="O8" s="34"/>
      <c r="P8" s="34"/>
      <c r="Q8" s="34"/>
      <c r="R8" s="35" t="str">
        <f aca="false">IF(OR($A8="",N8=""),"",MIN(IF($B8="ТТП",IF(N8/Настройки!$C$8&gt;=Настройки!$B$23,5,IF(N8/Настройки!$C$8&gt;=Настройки!$B$24,4,IF(N8/Настройки!$C$8&gt;=Настройки!$B$25,3,2))),IF($B8="ТТМ",IF(N8/Настройки!$C$8&gt;=Настройки!$B$29,5,IF(N8/Настройки!$C$8&gt;=Настройки!$B$30,4,IF(N8/Настройки!$C$8&gt;=Настройки!$B$31,3,2))),"")),IF($B8&lt;&gt;"ТТП",5,IF(O8="Да",5,4)),IFERROR(VLOOKUP(P8,Настройки!$A$35:$B$37,2,FALSE()),5),IFERROR(VLOOKUP(Q8,Настройки!$A$41:$B$44,2,FALSE()),5)))</f>
        <v/>
      </c>
      <c r="S8" s="36" t="str">
        <f aca="false">IF(R8="","",MIN(Настройки!$B$8,Настройки!$B$8*VLOOKUP(R8,Настройки!$A$16:$B$19,2,FALSE())+IF(AND($B8="ТТМ",O8="Да"),Настройки!$B$8*Настройки!$A$53,0)))</f>
        <v/>
      </c>
      <c r="T8" s="34"/>
      <c r="U8" s="34"/>
      <c r="V8" s="34"/>
      <c r="W8" s="34"/>
      <c r="X8" s="35" t="str">
        <f aca="false">IF(OR($A8="",T8=""),"",MIN(IF($B8="ТТП",IF(T8/Настройки!$C$9&gt;=Настройки!$B$23,5,IF(T8/Настройки!$C$9&gt;=Настройки!$B$24,4,IF(T8/Настройки!$C$9&gt;=Настройки!$B$25,3,2))),IF($B8="ТТМ",IF(T8/Настройки!$C$9&gt;=Настройки!$B$29,5,IF(T8/Настройки!$C$9&gt;=Настройки!$B$30,4,IF(T8/Настройки!$C$9&gt;=Настройки!$B$31,3,2))),"")),IF($B8&lt;&gt;"ТТП",5,IF(U8="Да",5,4)),IFERROR(VLOOKUP(V8,Настройки!$A$35:$B$37,2,FALSE()),5),IFERROR(VLOOKUP(W8,Настройки!$A$41:$B$44,2,FALSE()),5)))</f>
        <v/>
      </c>
      <c r="Y8" s="36" t="str">
        <f aca="false">IF(X8="","",MIN(Настройки!$B$9,Настройки!$B$9*VLOOKUP(X8,Настройки!$A$16:$B$19,2,FALSE())+IF(AND($B8="ТТМ",U8="Да"),Настройки!$B$9*Настройки!$A$53,0)))</f>
        <v/>
      </c>
      <c r="Z8" s="34"/>
      <c r="AA8" s="34"/>
      <c r="AB8" s="34"/>
      <c r="AC8" s="34"/>
      <c r="AD8" s="35" t="str">
        <f aca="false">IF(OR($A8="",Z8=""),"",MIN(IF($B8="ТТП",IF(Z8/Настройки!$C$10&gt;=Настройки!$B$23,5,IF(Z8/Настройки!$C$10&gt;=Настройки!$B$24,4,IF(Z8/Настройки!$C$10&gt;=Настройки!$B$25,3,2))),IF($B8="ТТМ",IF(Z8/Настройки!$C$10&gt;=Настройки!$B$29,5,IF(Z8/Настройки!$C$10&gt;=Настройки!$B$30,4,IF(Z8/Настройки!$C$10&gt;=Настройки!$B$31,3,2))),"")),IF($B8&lt;&gt;"ТТП",5,IF(AA8="Да",5,4)),IFERROR(VLOOKUP(AB8,Настройки!$A$35:$B$37,2,FALSE()),5),IFERROR(VLOOKUP(AC8,Настройки!$A$41:$B$44,2,FALSE()),5)))</f>
        <v/>
      </c>
      <c r="AE8" s="36" t="str">
        <f aca="false">IF(AD8="","",MIN(Настройки!$B$10,Настройки!$B$10*VLOOKUP(AD8,Настройки!$A$16:$B$19,2,FALSE())+IF(AND($B8="ТТМ",AA8="Да"),Настройки!$B$10*Настройки!$A$53,0)))</f>
        <v/>
      </c>
      <c r="AF8" s="34"/>
      <c r="AG8" s="34"/>
      <c r="AH8" s="34"/>
      <c r="AI8" s="34"/>
      <c r="AJ8" s="35" t="str">
        <f aca="false">IF(OR($A8="",AF8=""),"",MIN(IF($B8="ТТП",IF(AF8/Настройки!$C$11&gt;=Настройки!$B$23,5,IF(AF8/Настройки!$C$11&gt;=Настройки!$B$24,4,IF(AF8/Настройки!$C$11&gt;=Настройки!$B$25,3,2))),IF($B8="ТТМ",IF(AF8/Настройки!$C$11&gt;=Настройки!$B$29,5,IF(AF8/Настройки!$C$11&gt;=Настройки!$B$30,4,IF(AF8/Настройки!$C$11&gt;=Настройки!$B$31,3,2))),"")),IF($B8&lt;&gt;"ТТП",5,IF(AG8="Да",5,4)),IFERROR(VLOOKUP(AH8,Настройки!$A$35:$B$37,2,FALSE()),5),IFERROR(VLOOKUP(AI8,Настройки!$A$41:$B$44,2,FALSE()),5)))</f>
        <v/>
      </c>
      <c r="AK8" s="36" t="str">
        <f aca="false">IF(AJ8="","",MIN(Настройки!$B$11,Настройки!$B$11*VLOOKUP(AJ8,Настройки!$A$16:$B$19,2,FALSE())+IF(AND($B8="ТТМ",AG8="Да"),Настройки!$B$11*Настройки!$A$53,0)))</f>
        <v/>
      </c>
      <c r="AL8" s="34"/>
      <c r="AM8" s="34"/>
      <c r="AN8" s="34"/>
      <c r="AO8" s="35" t="str">
        <f aca="false">IF(OR($A8="",AL8=""),"",MIN(IF($B8="ТТП",IF(AL8/Настройки!$C$57&gt;=Настройки!$B$23,5,IF(AL8/Настройки!$C$57&gt;=Настройки!$B$24,4,IF(AL8/Настройки!$C$57&gt;=Настройки!$B$25,3,2))),IF($B8="ТТМ",IF(AL8/Настройки!$C$57&gt;=Настройки!$B$29,5,IF(AL8/Настройки!$C$57&gt;=Настройки!$B$30,4,IF(AL8/Настройки!$C$57&gt;=Настройки!$B$31,3,2))),"")),IF($B8&lt;&gt;"ТТП",5,IF(AM8="Да",5,4)),IFERROR(VLOOKUP(AN8,Настройки!$A$35:$B$37,2,FALSE()),5)))</f>
        <v/>
      </c>
      <c r="AP8" s="36" t="str">
        <f aca="false">IF(AO8="","",MIN(Настройки!$B$57,Настройки!$B$57*VLOOKUP(AO8,Настройки!$A$16:$B$19,2,FALSE())+IF(AND($B8="ТТМ",AM8="Да"),Настройки!$B$57*Настройки!$A$53,0)))</f>
        <v/>
      </c>
      <c r="AQ8" s="36" t="str">
        <f aca="false">IF($A8="","",SUM(G8,M8,S8,Y8,AE8,AK8)+IF(AP8="",0,AP8))</f>
        <v/>
      </c>
      <c r="AR8" s="37" t="str">
        <f aca="false">IF(AQ8="","",VLOOKUP(AQ8,Настройки!$A$48:$B$51,2,TRUE()))</f>
        <v/>
      </c>
    </row>
    <row r="9" customFormat="false" ht="15" hidden="false" customHeight="true" outlineLevel="0" collapsed="false">
      <c r="A9" s="10"/>
      <c r="B9" s="34"/>
      <c r="C9" s="34"/>
      <c r="D9" s="34"/>
      <c r="E9" s="34"/>
      <c r="F9" s="35" t="str">
        <f aca="false">IF(OR($A9="",C9=""),"",MIN(IF($B9="ТТП",IF(C9/Настройки!$C$6&gt;=Настройки!$B$23,5,IF(C9/Настройки!$C$6&gt;=Настройки!$B$24,4,IF(C9/Настройки!$C$6&gt;=Настройки!$B$25,3,2))),IF($B9="ТТМ",IF(C9/Настройки!$C$6&gt;=Настройки!$B$29,5,IF(C9/Настройки!$C$6&gt;=Настройки!$B$30,4,IF(C9/Настройки!$C$6&gt;=Настройки!$B$31,3,2))),"")),IFERROR(VLOOKUP(D9,Настройки!$A$35:$B$37,2,FALSE()),5),IFERROR(VLOOKUP(E9,Настройки!$A$41:$B$44,2,FALSE()),5)))</f>
        <v/>
      </c>
      <c r="G9" s="36" t="str">
        <f aca="false">IF(F9="","",Настройки!$B$6*VLOOKUP(F9,Настройки!$A$16:$B$19,2,FALSE()))</f>
        <v/>
      </c>
      <c r="H9" s="34"/>
      <c r="I9" s="34"/>
      <c r="J9" s="34"/>
      <c r="K9" s="34"/>
      <c r="L9" s="35" t="str">
        <f aca="false">IF(OR($A9="",H9=""),"",MIN(IF($B9="ТТП",IF(H9/Настройки!$C$7&gt;=Настройки!$B$23,5,IF(H9/Настройки!$C$7&gt;=Настройки!$B$24,4,IF(H9/Настройки!$C$7&gt;=Настройки!$B$25,3,2))),IF($B9="ТТМ",IF(H9/Настройки!$C$7&gt;=Настройки!$B$29,5,IF(H9/Настройки!$C$7&gt;=Настройки!$B$30,4,IF(H9/Настройки!$C$7&gt;=Настройки!$B$31,3,2))),"")),IF($B9&lt;&gt;"ТТП",5,IF(I9="Да",5,4)),IFERROR(VLOOKUP(J9,Настройки!$A$35:$B$37,2,FALSE()),5),IFERROR(VLOOKUP(K9,Настройки!$A$41:$B$44,2,FALSE()),5)))</f>
        <v/>
      </c>
      <c r="M9" s="36" t="str">
        <f aca="false">IF(L9="","",MIN(Настройки!$B$7,Настройки!$B$7*VLOOKUP(L9,Настройки!$A$16:$B$19,2,FALSE())+IF(AND($B9="ТТМ",I9="Да"),Настройки!$B$7*Настройки!$A$53,0)))</f>
        <v/>
      </c>
      <c r="N9" s="34"/>
      <c r="O9" s="34"/>
      <c r="P9" s="34"/>
      <c r="Q9" s="34"/>
      <c r="R9" s="35" t="str">
        <f aca="false">IF(OR($A9="",N9=""),"",MIN(IF($B9="ТТП",IF(N9/Настройки!$C$8&gt;=Настройки!$B$23,5,IF(N9/Настройки!$C$8&gt;=Настройки!$B$24,4,IF(N9/Настройки!$C$8&gt;=Настройки!$B$25,3,2))),IF($B9="ТТМ",IF(N9/Настройки!$C$8&gt;=Настройки!$B$29,5,IF(N9/Настройки!$C$8&gt;=Настройки!$B$30,4,IF(N9/Настройки!$C$8&gt;=Настройки!$B$31,3,2))),"")),IF($B9&lt;&gt;"ТТП",5,IF(O9="Да",5,4)),IFERROR(VLOOKUP(P9,Настройки!$A$35:$B$37,2,FALSE()),5),IFERROR(VLOOKUP(Q9,Настройки!$A$41:$B$44,2,FALSE()),5)))</f>
        <v/>
      </c>
      <c r="S9" s="36" t="str">
        <f aca="false">IF(R9="","",MIN(Настройки!$B$8,Настройки!$B$8*VLOOKUP(R9,Настройки!$A$16:$B$19,2,FALSE())+IF(AND($B9="ТТМ",O9="Да"),Настройки!$B$8*Настройки!$A$53,0)))</f>
        <v/>
      </c>
      <c r="T9" s="34"/>
      <c r="U9" s="34"/>
      <c r="V9" s="34"/>
      <c r="W9" s="34"/>
      <c r="X9" s="35" t="str">
        <f aca="false">IF(OR($A9="",T9=""),"",MIN(IF($B9="ТТП",IF(T9/Настройки!$C$9&gt;=Настройки!$B$23,5,IF(T9/Настройки!$C$9&gt;=Настройки!$B$24,4,IF(T9/Настройки!$C$9&gt;=Настройки!$B$25,3,2))),IF($B9="ТТМ",IF(T9/Настройки!$C$9&gt;=Настройки!$B$29,5,IF(T9/Настройки!$C$9&gt;=Настройки!$B$30,4,IF(T9/Настройки!$C$9&gt;=Настройки!$B$31,3,2))),"")),IF($B9&lt;&gt;"ТТП",5,IF(U9="Да",5,4)),IFERROR(VLOOKUP(V9,Настройки!$A$35:$B$37,2,FALSE()),5),IFERROR(VLOOKUP(W9,Настройки!$A$41:$B$44,2,FALSE()),5)))</f>
        <v/>
      </c>
      <c r="Y9" s="36" t="str">
        <f aca="false">IF(X9="","",MIN(Настройки!$B$9,Настройки!$B$9*VLOOKUP(X9,Настройки!$A$16:$B$19,2,FALSE())+IF(AND($B9="ТТМ",U9="Да"),Настройки!$B$9*Настройки!$A$53,0)))</f>
        <v/>
      </c>
      <c r="Z9" s="34"/>
      <c r="AA9" s="34"/>
      <c r="AB9" s="34"/>
      <c r="AC9" s="34"/>
      <c r="AD9" s="35" t="str">
        <f aca="false">IF(OR($A9="",Z9=""),"",MIN(IF($B9="ТТП",IF(Z9/Настройки!$C$10&gt;=Настройки!$B$23,5,IF(Z9/Настройки!$C$10&gt;=Настройки!$B$24,4,IF(Z9/Настройки!$C$10&gt;=Настройки!$B$25,3,2))),IF($B9="ТТМ",IF(Z9/Настройки!$C$10&gt;=Настройки!$B$29,5,IF(Z9/Настройки!$C$10&gt;=Настройки!$B$30,4,IF(Z9/Настройки!$C$10&gt;=Настройки!$B$31,3,2))),"")),IF($B9&lt;&gt;"ТТП",5,IF(AA9="Да",5,4)),IFERROR(VLOOKUP(AB9,Настройки!$A$35:$B$37,2,FALSE()),5),IFERROR(VLOOKUP(AC9,Настройки!$A$41:$B$44,2,FALSE()),5)))</f>
        <v/>
      </c>
      <c r="AE9" s="36" t="str">
        <f aca="false">IF(AD9="","",MIN(Настройки!$B$10,Настройки!$B$10*VLOOKUP(AD9,Настройки!$A$16:$B$19,2,FALSE())+IF(AND($B9="ТТМ",AA9="Да"),Настройки!$B$10*Настройки!$A$53,0)))</f>
        <v/>
      </c>
      <c r="AF9" s="34"/>
      <c r="AG9" s="34"/>
      <c r="AH9" s="34"/>
      <c r="AI9" s="34"/>
      <c r="AJ9" s="35" t="str">
        <f aca="false">IF(OR($A9="",AF9=""),"",MIN(IF($B9="ТТП",IF(AF9/Настройки!$C$11&gt;=Настройки!$B$23,5,IF(AF9/Настройки!$C$11&gt;=Настройки!$B$24,4,IF(AF9/Настройки!$C$11&gt;=Настройки!$B$25,3,2))),IF($B9="ТТМ",IF(AF9/Настройки!$C$11&gt;=Настройки!$B$29,5,IF(AF9/Настройки!$C$11&gt;=Настройки!$B$30,4,IF(AF9/Настройки!$C$11&gt;=Настройки!$B$31,3,2))),"")),IF($B9&lt;&gt;"ТТП",5,IF(AG9="Да",5,4)),IFERROR(VLOOKUP(AH9,Настройки!$A$35:$B$37,2,FALSE()),5),IFERROR(VLOOKUP(AI9,Настройки!$A$41:$B$44,2,FALSE()),5)))</f>
        <v/>
      </c>
      <c r="AK9" s="36" t="str">
        <f aca="false">IF(AJ9="","",MIN(Настройки!$B$11,Настройки!$B$11*VLOOKUP(AJ9,Настройки!$A$16:$B$19,2,FALSE())+IF(AND($B9="ТТМ",AG9="Да"),Настройки!$B$11*Настройки!$A$53,0)))</f>
        <v/>
      </c>
      <c r="AL9" s="34"/>
      <c r="AM9" s="34"/>
      <c r="AN9" s="34"/>
      <c r="AO9" s="35" t="str">
        <f aca="false">IF(OR($A9="",AL9=""),"",MIN(IF($B9="ТТП",IF(AL9/Настройки!$C$57&gt;=Настройки!$B$23,5,IF(AL9/Настройки!$C$57&gt;=Настройки!$B$24,4,IF(AL9/Настройки!$C$57&gt;=Настройки!$B$25,3,2))),IF($B9="ТТМ",IF(AL9/Настройки!$C$57&gt;=Настройки!$B$29,5,IF(AL9/Настройки!$C$57&gt;=Настройки!$B$30,4,IF(AL9/Настройки!$C$57&gt;=Настройки!$B$31,3,2))),"")),IF($B9&lt;&gt;"ТТП",5,IF(AM9="Да",5,4)),IFERROR(VLOOKUP(AN9,Настройки!$A$35:$B$37,2,FALSE()),5)))</f>
        <v/>
      </c>
      <c r="AP9" s="36" t="str">
        <f aca="false">IF(AO9="","",MIN(Настройки!$B$57,Настройки!$B$57*VLOOKUP(AO9,Настройки!$A$16:$B$19,2,FALSE())+IF(AND($B9="ТТМ",AM9="Да"),Настройки!$B$57*Настройки!$A$53,0)))</f>
        <v/>
      </c>
      <c r="AQ9" s="36" t="str">
        <f aca="false">IF($A9="","",SUM(G9,M9,S9,Y9,AE9,AK9)+IF(AP9="",0,AP9))</f>
        <v/>
      </c>
      <c r="AR9" s="37" t="str">
        <f aca="false">IF(AQ9="","",VLOOKUP(AQ9,Настройки!$A$48:$B$51,2,TRUE()))</f>
        <v/>
      </c>
    </row>
    <row r="10" customFormat="false" ht="15" hidden="false" customHeight="true" outlineLevel="0" collapsed="false">
      <c r="A10" s="10"/>
      <c r="B10" s="34"/>
      <c r="C10" s="34"/>
      <c r="D10" s="34"/>
      <c r="E10" s="34"/>
      <c r="F10" s="35" t="str">
        <f aca="false">IF(OR($A10="",C10=""),"",MIN(IF($B10="ТТП",IF(C10/Настройки!$C$6&gt;=Настройки!$B$23,5,IF(C10/Настройки!$C$6&gt;=Настройки!$B$24,4,IF(C10/Настройки!$C$6&gt;=Настройки!$B$25,3,2))),IF($B10="ТТМ",IF(C10/Настройки!$C$6&gt;=Настройки!$B$29,5,IF(C10/Настройки!$C$6&gt;=Настройки!$B$30,4,IF(C10/Настройки!$C$6&gt;=Настройки!$B$31,3,2))),"")),IFERROR(VLOOKUP(D10,Настройки!$A$35:$B$37,2,FALSE()),5),IFERROR(VLOOKUP(E10,Настройки!$A$41:$B$44,2,FALSE()),5)))</f>
        <v/>
      </c>
      <c r="G10" s="36" t="str">
        <f aca="false">IF(F10="","",Настройки!$B$6*VLOOKUP(F10,Настройки!$A$16:$B$19,2,FALSE()))</f>
        <v/>
      </c>
      <c r="H10" s="34"/>
      <c r="I10" s="34"/>
      <c r="J10" s="34"/>
      <c r="K10" s="34"/>
      <c r="L10" s="35" t="str">
        <f aca="false">IF(OR($A10="",H10=""),"",MIN(IF($B10="ТТП",IF(H10/Настройки!$C$7&gt;=Настройки!$B$23,5,IF(H10/Настройки!$C$7&gt;=Настройки!$B$24,4,IF(H10/Настройки!$C$7&gt;=Настройки!$B$25,3,2))),IF($B10="ТТМ",IF(H10/Настройки!$C$7&gt;=Настройки!$B$29,5,IF(H10/Настройки!$C$7&gt;=Настройки!$B$30,4,IF(H10/Настройки!$C$7&gt;=Настройки!$B$31,3,2))),"")),IF($B10&lt;&gt;"ТТП",5,IF(I10="Да",5,4)),IFERROR(VLOOKUP(J10,Настройки!$A$35:$B$37,2,FALSE()),5),IFERROR(VLOOKUP(K10,Настройки!$A$41:$B$44,2,FALSE()),5)))</f>
        <v/>
      </c>
      <c r="M10" s="36" t="str">
        <f aca="false">IF(L10="","",MIN(Настройки!$B$7,Настройки!$B$7*VLOOKUP(L10,Настройки!$A$16:$B$19,2,FALSE())+IF(AND($B10="ТТМ",I10="Да"),Настройки!$B$7*Настройки!$A$53,0)))</f>
        <v/>
      </c>
      <c r="N10" s="34"/>
      <c r="O10" s="34"/>
      <c r="P10" s="34"/>
      <c r="Q10" s="34"/>
      <c r="R10" s="35" t="str">
        <f aca="false">IF(OR($A10="",N10=""),"",MIN(IF($B10="ТТП",IF(N10/Настройки!$C$8&gt;=Настройки!$B$23,5,IF(N10/Настройки!$C$8&gt;=Настройки!$B$24,4,IF(N10/Настройки!$C$8&gt;=Настройки!$B$25,3,2))),IF($B10="ТТМ",IF(N10/Настройки!$C$8&gt;=Настройки!$B$29,5,IF(N10/Настройки!$C$8&gt;=Настройки!$B$30,4,IF(N10/Настройки!$C$8&gt;=Настройки!$B$31,3,2))),"")),IF($B10&lt;&gt;"ТТП",5,IF(O10="Да",5,4)),IFERROR(VLOOKUP(P10,Настройки!$A$35:$B$37,2,FALSE()),5),IFERROR(VLOOKUP(Q10,Настройки!$A$41:$B$44,2,FALSE()),5)))</f>
        <v/>
      </c>
      <c r="S10" s="36" t="str">
        <f aca="false">IF(R10="","",MIN(Настройки!$B$8,Настройки!$B$8*VLOOKUP(R10,Настройки!$A$16:$B$19,2,FALSE())+IF(AND($B10="ТТМ",O10="Да"),Настройки!$B$8*Настройки!$A$53,0)))</f>
        <v/>
      </c>
      <c r="T10" s="34"/>
      <c r="U10" s="34"/>
      <c r="V10" s="34"/>
      <c r="W10" s="34"/>
      <c r="X10" s="35" t="str">
        <f aca="false">IF(OR($A10="",T10=""),"",MIN(IF($B10="ТТП",IF(T10/Настройки!$C$9&gt;=Настройки!$B$23,5,IF(T10/Настройки!$C$9&gt;=Настройки!$B$24,4,IF(T10/Настройки!$C$9&gt;=Настройки!$B$25,3,2))),IF($B10="ТТМ",IF(T10/Настройки!$C$9&gt;=Настройки!$B$29,5,IF(T10/Настройки!$C$9&gt;=Настройки!$B$30,4,IF(T10/Настройки!$C$9&gt;=Настройки!$B$31,3,2))),"")),IF($B10&lt;&gt;"ТТП",5,IF(U10="Да",5,4)),IFERROR(VLOOKUP(V10,Настройки!$A$35:$B$37,2,FALSE()),5),IFERROR(VLOOKUP(W10,Настройки!$A$41:$B$44,2,FALSE()),5)))</f>
        <v/>
      </c>
      <c r="Y10" s="36" t="str">
        <f aca="false">IF(X10="","",MIN(Настройки!$B$9,Настройки!$B$9*VLOOKUP(X10,Настройки!$A$16:$B$19,2,FALSE())+IF(AND($B10="ТТМ",U10="Да"),Настройки!$B$9*Настройки!$A$53,0)))</f>
        <v/>
      </c>
      <c r="Z10" s="34"/>
      <c r="AA10" s="34"/>
      <c r="AB10" s="34"/>
      <c r="AC10" s="34"/>
      <c r="AD10" s="35" t="str">
        <f aca="false">IF(OR($A10="",Z10=""),"",MIN(IF($B10="ТТП",IF(Z10/Настройки!$C$10&gt;=Настройки!$B$23,5,IF(Z10/Настройки!$C$10&gt;=Настройки!$B$24,4,IF(Z10/Настройки!$C$10&gt;=Настройки!$B$25,3,2))),IF($B10="ТТМ",IF(Z10/Настройки!$C$10&gt;=Настройки!$B$29,5,IF(Z10/Настройки!$C$10&gt;=Настройки!$B$30,4,IF(Z10/Настройки!$C$10&gt;=Настройки!$B$31,3,2))),"")),IF($B10&lt;&gt;"ТТП",5,IF(AA10="Да",5,4)),IFERROR(VLOOKUP(AB10,Настройки!$A$35:$B$37,2,FALSE()),5),IFERROR(VLOOKUP(AC10,Настройки!$A$41:$B$44,2,FALSE()),5)))</f>
        <v/>
      </c>
      <c r="AE10" s="36" t="str">
        <f aca="false">IF(AD10="","",MIN(Настройки!$B$10,Настройки!$B$10*VLOOKUP(AD10,Настройки!$A$16:$B$19,2,FALSE())+IF(AND($B10="ТТМ",AA10="Да"),Настройки!$B$10*Настройки!$A$53,0)))</f>
        <v/>
      </c>
      <c r="AF10" s="34"/>
      <c r="AG10" s="34"/>
      <c r="AH10" s="34"/>
      <c r="AI10" s="34"/>
      <c r="AJ10" s="35" t="str">
        <f aca="false">IF(OR($A10="",AF10=""),"",MIN(IF($B10="ТТП",IF(AF10/Настройки!$C$11&gt;=Настройки!$B$23,5,IF(AF10/Настройки!$C$11&gt;=Настройки!$B$24,4,IF(AF10/Настройки!$C$11&gt;=Настройки!$B$25,3,2))),IF($B10="ТТМ",IF(AF10/Настройки!$C$11&gt;=Настройки!$B$29,5,IF(AF10/Настройки!$C$11&gt;=Настройки!$B$30,4,IF(AF10/Настройки!$C$11&gt;=Настройки!$B$31,3,2))),"")),IF($B10&lt;&gt;"ТТП",5,IF(AG10="Да",5,4)),IFERROR(VLOOKUP(AH10,Настройки!$A$35:$B$37,2,FALSE()),5),IFERROR(VLOOKUP(AI10,Настройки!$A$41:$B$44,2,FALSE()),5)))</f>
        <v/>
      </c>
      <c r="AK10" s="36" t="str">
        <f aca="false">IF(AJ10="","",MIN(Настройки!$B$11,Настройки!$B$11*VLOOKUP(AJ10,Настройки!$A$16:$B$19,2,FALSE())+IF(AND($B10="ТТМ",AG10="Да"),Настройки!$B$11*Настройки!$A$53,0)))</f>
        <v/>
      </c>
      <c r="AL10" s="34"/>
      <c r="AM10" s="34"/>
      <c r="AN10" s="34"/>
      <c r="AO10" s="35" t="str">
        <f aca="false">IF(OR($A10="",AL10=""),"",MIN(IF($B10="ТТП",IF(AL10/Настройки!$C$57&gt;=Настройки!$B$23,5,IF(AL10/Настройки!$C$57&gt;=Настройки!$B$24,4,IF(AL10/Настройки!$C$57&gt;=Настройки!$B$25,3,2))),IF($B10="ТТМ",IF(AL10/Настройки!$C$57&gt;=Настройки!$B$29,5,IF(AL10/Настройки!$C$57&gt;=Настройки!$B$30,4,IF(AL10/Настройки!$C$57&gt;=Настройки!$B$31,3,2))),"")),IF($B10&lt;&gt;"ТТП",5,IF(AM10="Да",5,4)),IFERROR(VLOOKUP(AN10,Настройки!$A$35:$B$37,2,FALSE()),5)))</f>
        <v/>
      </c>
      <c r="AP10" s="36" t="str">
        <f aca="false">IF(AO10="","",MIN(Настройки!$B$57,Настройки!$B$57*VLOOKUP(AO10,Настройки!$A$16:$B$19,2,FALSE())+IF(AND($B10="ТТМ",AM10="Да"),Настройки!$B$57*Настройки!$A$53,0)))</f>
        <v/>
      </c>
      <c r="AQ10" s="36" t="str">
        <f aca="false">IF($A10="","",SUM(G10,M10,S10,Y10,AE10,AK10)+IF(AP10="",0,AP10))</f>
        <v/>
      </c>
      <c r="AR10" s="37" t="str">
        <f aca="false">IF(AQ10="","",VLOOKUP(AQ10,Настройки!$A$48:$B$51,2,TRUE()))</f>
        <v/>
      </c>
    </row>
    <row r="11" customFormat="false" ht="15" hidden="false" customHeight="true" outlineLevel="0" collapsed="false">
      <c r="A11" s="10"/>
      <c r="B11" s="34"/>
      <c r="C11" s="34"/>
      <c r="D11" s="34"/>
      <c r="E11" s="34"/>
      <c r="F11" s="35" t="str">
        <f aca="false">IF(OR($A11="",C11=""),"",MIN(IF($B11="ТТП",IF(C11/Настройки!$C$6&gt;=Настройки!$B$23,5,IF(C11/Настройки!$C$6&gt;=Настройки!$B$24,4,IF(C11/Настройки!$C$6&gt;=Настройки!$B$25,3,2))),IF($B11="ТТМ",IF(C11/Настройки!$C$6&gt;=Настройки!$B$29,5,IF(C11/Настройки!$C$6&gt;=Настройки!$B$30,4,IF(C11/Настройки!$C$6&gt;=Настройки!$B$31,3,2))),"")),IFERROR(VLOOKUP(D11,Настройки!$A$35:$B$37,2,FALSE()),5),IFERROR(VLOOKUP(E11,Настройки!$A$41:$B$44,2,FALSE()),5)))</f>
        <v/>
      </c>
      <c r="G11" s="36" t="str">
        <f aca="false">IF(F11="","",Настройки!$B$6*VLOOKUP(F11,Настройки!$A$16:$B$19,2,FALSE()))</f>
        <v/>
      </c>
      <c r="H11" s="34"/>
      <c r="I11" s="34"/>
      <c r="J11" s="34"/>
      <c r="K11" s="34"/>
      <c r="L11" s="35" t="str">
        <f aca="false">IF(OR($A11="",H11=""),"",MIN(IF($B11="ТТП",IF(H11/Настройки!$C$7&gt;=Настройки!$B$23,5,IF(H11/Настройки!$C$7&gt;=Настройки!$B$24,4,IF(H11/Настройки!$C$7&gt;=Настройки!$B$25,3,2))),IF($B11="ТТМ",IF(H11/Настройки!$C$7&gt;=Настройки!$B$29,5,IF(H11/Настройки!$C$7&gt;=Настройки!$B$30,4,IF(H11/Настройки!$C$7&gt;=Настройки!$B$31,3,2))),"")),IF($B11&lt;&gt;"ТТП",5,IF(I11="Да",5,4)),IFERROR(VLOOKUP(J11,Настройки!$A$35:$B$37,2,FALSE()),5),IFERROR(VLOOKUP(K11,Настройки!$A$41:$B$44,2,FALSE()),5)))</f>
        <v/>
      </c>
      <c r="M11" s="36" t="str">
        <f aca="false">IF(L11="","",MIN(Настройки!$B$7,Настройки!$B$7*VLOOKUP(L11,Настройки!$A$16:$B$19,2,FALSE())+IF(AND($B11="ТТМ",I11="Да"),Настройки!$B$7*Настройки!$A$53,0)))</f>
        <v/>
      </c>
      <c r="N11" s="34"/>
      <c r="O11" s="34"/>
      <c r="P11" s="34"/>
      <c r="Q11" s="34"/>
      <c r="R11" s="35" t="str">
        <f aca="false">IF(OR($A11="",N11=""),"",MIN(IF($B11="ТТП",IF(N11/Настройки!$C$8&gt;=Настройки!$B$23,5,IF(N11/Настройки!$C$8&gt;=Настройки!$B$24,4,IF(N11/Настройки!$C$8&gt;=Настройки!$B$25,3,2))),IF($B11="ТТМ",IF(N11/Настройки!$C$8&gt;=Настройки!$B$29,5,IF(N11/Настройки!$C$8&gt;=Настройки!$B$30,4,IF(N11/Настройки!$C$8&gt;=Настройки!$B$31,3,2))),"")),IF($B11&lt;&gt;"ТТП",5,IF(O11="Да",5,4)),IFERROR(VLOOKUP(P11,Настройки!$A$35:$B$37,2,FALSE()),5),IFERROR(VLOOKUP(Q11,Настройки!$A$41:$B$44,2,FALSE()),5)))</f>
        <v/>
      </c>
      <c r="S11" s="36" t="str">
        <f aca="false">IF(R11="","",MIN(Настройки!$B$8,Настройки!$B$8*VLOOKUP(R11,Настройки!$A$16:$B$19,2,FALSE())+IF(AND($B11="ТТМ",O11="Да"),Настройки!$B$8*Настройки!$A$53,0)))</f>
        <v/>
      </c>
      <c r="T11" s="34"/>
      <c r="U11" s="34"/>
      <c r="V11" s="34"/>
      <c r="W11" s="34"/>
      <c r="X11" s="35" t="str">
        <f aca="false">IF(OR($A11="",T11=""),"",MIN(IF($B11="ТТП",IF(T11/Настройки!$C$9&gt;=Настройки!$B$23,5,IF(T11/Настройки!$C$9&gt;=Настройки!$B$24,4,IF(T11/Настройки!$C$9&gt;=Настройки!$B$25,3,2))),IF($B11="ТТМ",IF(T11/Настройки!$C$9&gt;=Настройки!$B$29,5,IF(T11/Настройки!$C$9&gt;=Настройки!$B$30,4,IF(T11/Настройки!$C$9&gt;=Настройки!$B$31,3,2))),"")),IF($B11&lt;&gt;"ТТП",5,IF(U11="Да",5,4)),IFERROR(VLOOKUP(V11,Настройки!$A$35:$B$37,2,FALSE()),5),IFERROR(VLOOKUP(W11,Настройки!$A$41:$B$44,2,FALSE()),5)))</f>
        <v/>
      </c>
      <c r="Y11" s="36" t="str">
        <f aca="false">IF(X11="","",MIN(Настройки!$B$9,Настройки!$B$9*VLOOKUP(X11,Настройки!$A$16:$B$19,2,FALSE())+IF(AND($B11="ТТМ",U11="Да"),Настройки!$B$9*Настройки!$A$53,0)))</f>
        <v/>
      </c>
      <c r="Z11" s="34"/>
      <c r="AA11" s="34"/>
      <c r="AB11" s="34"/>
      <c r="AC11" s="34"/>
      <c r="AD11" s="35" t="str">
        <f aca="false">IF(OR($A11="",Z11=""),"",MIN(IF($B11="ТТП",IF(Z11/Настройки!$C$10&gt;=Настройки!$B$23,5,IF(Z11/Настройки!$C$10&gt;=Настройки!$B$24,4,IF(Z11/Настройки!$C$10&gt;=Настройки!$B$25,3,2))),IF($B11="ТТМ",IF(Z11/Настройки!$C$10&gt;=Настройки!$B$29,5,IF(Z11/Настройки!$C$10&gt;=Настройки!$B$30,4,IF(Z11/Настройки!$C$10&gt;=Настройки!$B$31,3,2))),"")),IF($B11&lt;&gt;"ТТП",5,IF(AA11="Да",5,4)),IFERROR(VLOOKUP(AB11,Настройки!$A$35:$B$37,2,FALSE()),5),IFERROR(VLOOKUP(AC11,Настройки!$A$41:$B$44,2,FALSE()),5)))</f>
        <v/>
      </c>
      <c r="AE11" s="36" t="str">
        <f aca="false">IF(AD11="","",MIN(Настройки!$B$10,Настройки!$B$10*VLOOKUP(AD11,Настройки!$A$16:$B$19,2,FALSE())+IF(AND($B11="ТТМ",AA11="Да"),Настройки!$B$10*Настройки!$A$53,0)))</f>
        <v/>
      </c>
      <c r="AF11" s="34"/>
      <c r="AG11" s="34"/>
      <c r="AH11" s="34"/>
      <c r="AI11" s="34"/>
      <c r="AJ11" s="35" t="str">
        <f aca="false">IF(OR($A11="",AF11=""),"",MIN(IF($B11="ТТП",IF(AF11/Настройки!$C$11&gt;=Настройки!$B$23,5,IF(AF11/Настройки!$C$11&gt;=Настройки!$B$24,4,IF(AF11/Настройки!$C$11&gt;=Настройки!$B$25,3,2))),IF($B11="ТТМ",IF(AF11/Настройки!$C$11&gt;=Настройки!$B$29,5,IF(AF11/Настройки!$C$11&gt;=Настройки!$B$30,4,IF(AF11/Настройки!$C$11&gt;=Настройки!$B$31,3,2))),"")),IF($B11&lt;&gt;"ТТП",5,IF(AG11="Да",5,4)),IFERROR(VLOOKUP(AH11,Настройки!$A$35:$B$37,2,FALSE()),5),IFERROR(VLOOKUP(AI11,Настройки!$A$41:$B$44,2,FALSE()),5)))</f>
        <v/>
      </c>
      <c r="AK11" s="36" t="str">
        <f aca="false">IF(AJ11="","",MIN(Настройки!$B$11,Настройки!$B$11*VLOOKUP(AJ11,Настройки!$A$16:$B$19,2,FALSE())+IF(AND($B11="ТТМ",AG11="Да"),Настройки!$B$11*Настройки!$A$53,0)))</f>
        <v/>
      </c>
      <c r="AL11" s="34"/>
      <c r="AM11" s="34"/>
      <c r="AN11" s="34"/>
      <c r="AO11" s="35" t="str">
        <f aca="false">IF(OR($A11="",AL11=""),"",MIN(IF($B11="ТТП",IF(AL11/Настройки!$C$57&gt;=Настройки!$B$23,5,IF(AL11/Настройки!$C$57&gt;=Настройки!$B$24,4,IF(AL11/Настройки!$C$57&gt;=Настройки!$B$25,3,2))),IF($B11="ТТМ",IF(AL11/Настройки!$C$57&gt;=Настройки!$B$29,5,IF(AL11/Настройки!$C$57&gt;=Настройки!$B$30,4,IF(AL11/Настройки!$C$57&gt;=Настройки!$B$31,3,2))),"")),IF($B11&lt;&gt;"ТТП",5,IF(AM11="Да",5,4)),IFERROR(VLOOKUP(AN11,Настройки!$A$35:$B$37,2,FALSE()),5)))</f>
        <v/>
      </c>
      <c r="AP11" s="36" t="str">
        <f aca="false">IF(AO11="","",MIN(Настройки!$B$57,Настройки!$B$57*VLOOKUP(AO11,Настройки!$A$16:$B$19,2,FALSE())+IF(AND($B11="ТТМ",AM11="Да"),Настройки!$B$57*Настройки!$A$53,0)))</f>
        <v/>
      </c>
      <c r="AQ11" s="36" t="str">
        <f aca="false">IF($A11="","",SUM(G11,M11,S11,Y11,AE11,AK11)+IF(AP11="",0,AP11))</f>
        <v/>
      </c>
      <c r="AR11" s="37" t="str">
        <f aca="false">IF(AQ11="","",VLOOKUP(AQ11,Настройки!$A$48:$B$51,2,TRUE()))</f>
        <v/>
      </c>
    </row>
    <row r="12" customFormat="false" ht="15" hidden="false" customHeight="true" outlineLevel="0" collapsed="false">
      <c r="A12" s="10"/>
      <c r="B12" s="34"/>
      <c r="C12" s="34"/>
      <c r="D12" s="34"/>
      <c r="E12" s="34"/>
      <c r="F12" s="35" t="str">
        <f aca="false">IF(OR($A12="",C12=""),"",MIN(IF($B12="ТТП",IF(C12/Настройки!$C$6&gt;=Настройки!$B$23,5,IF(C12/Настройки!$C$6&gt;=Настройки!$B$24,4,IF(C12/Настройки!$C$6&gt;=Настройки!$B$25,3,2))),IF($B12="ТТМ",IF(C12/Настройки!$C$6&gt;=Настройки!$B$29,5,IF(C12/Настройки!$C$6&gt;=Настройки!$B$30,4,IF(C12/Настройки!$C$6&gt;=Настройки!$B$31,3,2))),"")),IFERROR(VLOOKUP(D12,Настройки!$A$35:$B$37,2,FALSE()),5),IFERROR(VLOOKUP(E12,Настройки!$A$41:$B$44,2,FALSE()),5)))</f>
        <v/>
      </c>
      <c r="G12" s="36" t="str">
        <f aca="false">IF(F12="","",Настройки!$B$6*VLOOKUP(F12,Настройки!$A$16:$B$19,2,FALSE()))</f>
        <v/>
      </c>
      <c r="H12" s="34"/>
      <c r="I12" s="34"/>
      <c r="J12" s="34"/>
      <c r="K12" s="34"/>
      <c r="L12" s="35" t="str">
        <f aca="false">IF(OR($A12="",H12=""),"",MIN(IF($B12="ТТП",IF(H12/Настройки!$C$7&gt;=Настройки!$B$23,5,IF(H12/Настройки!$C$7&gt;=Настройки!$B$24,4,IF(H12/Настройки!$C$7&gt;=Настройки!$B$25,3,2))),IF($B12="ТТМ",IF(H12/Настройки!$C$7&gt;=Настройки!$B$29,5,IF(H12/Настройки!$C$7&gt;=Настройки!$B$30,4,IF(H12/Настройки!$C$7&gt;=Настройки!$B$31,3,2))),"")),IF($B12&lt;&gt;"ТТП",5,IF(I12="Да",5,4)),IFERROR(VLOOKUP(J12,Настройки!$A$35:$B$37,2,FALSE()),5),IFERROR(VLOOKUP(K12,Настройки!$A$41:$B$44,2,FALSE()),5)))</f>
        <v/>
      </c>
      <c r="M12" s="36" t="str">
        <f aca="false">IF(L12="","",MIN(Настройки!$B$7,Настройки!$B$7*VLOOKUP(L12,Настройки!$A$16:$B$19,2,FALSE())+IF(AND($B12="ТТМ",I12="Да"),Настройки!$B$7*Настройки!$A$53,0)))</f>
        <v/>
      </c>
      <c r="N12" s="34"/>
      <c r="O12" s="34"/>
      <c r="P12" s="34"/>
      <c r="Q12" s="34"/>
      <c r="R12" s="35" t="str">
        <f aca="false">IF(OR($A12="",N12=""),"",MIN(IF($B12="ТТП",IF(N12/Настройки!$C$8&gt;=Настройки!$B$23,5,IF(N12/Настройки!$C$8&gt;=Настройки!$B$24,4,IF(N12/Настройки!$C$8&gt;=Настройки!$B$25,3,2))),IF($B12="ТТМ",IF(N12/Настройки!$C$8&gt;=Настройки!$B$29,5,IF(N12/Настройки!$C$8&gt;=Настройки!$B$30,4,IF(N12/Настройки!$C$8&gt;=Настройки!$B$31,3,2))),"")),IF($B12&lt;&gt;"ТТП",5,IF(O12="Да",5,4)),IFERROR(VLOOKUP(P12,Настройки!$A$35:$B$37,2,FALSE()),5),IFERROR(VLOOKUP(Q12,Настройки!$A$41:$B$44,2,FALSE()),5)))</f>
        <v/>
      </c>
      <c r="S12" s="36" t="str">
        <f aca="false">IF(R12="","",MIN(Настройки!$B$8,Настройки!$B$8*VLOOKUP(R12,Настройки!$A$16:$B$19,2,FALSE())+IF(AND($B12="ТТМ",O12="Да"),Настройки!$B$8*Настройки!$A$53,0)))</f>
        <v/>
      </c>
      <c r="T12" s="34"/>
      <c r="U12" s="34"/>
      <c r="V12" s="34"/>
      <c r="W12" s="34"/>
      <c r="X12" s="35" t="str">
        <f aca="false">IF(OR($A12="",T12=""),"",MIN(IF($B12="ТТП",IF(T12/Настройки!$C$9&gt;=Настройки!$B$23,5,IF(T12/Настройки!$C$9&gt;=Настройки!$B$24,4,IF(T12/Настройки!$C$9&gt;=Настройки!$B$25,3,2))),IF($B12="ТТМ",IF(T12/Настройки!$C$9&gt;=Настройки!$B$29,5,IF(T12/Настройки!$C$9&gt;=Настройки!$B$30,4,IF(T12/Настройки!$C$9&gt;=Настройки!$B$31,3,2))),"")),IF($B12&lt;&gt;"ТТП",5,IF(U12="Да",5,4)),IFERROR(VLOOKUP(V12,Настройки!$A$35:$B$37,2,FALSE()),5),IFERROR(VLOOKUP(W12,Настройки!$A$41:$B$44,2,FALSE()),5)))</f>
        <v/>
      </c>
      <c r="Y12" s="36" t="str">
        <f aca="false">IF(X12="","",MIN(Настройки!$B$9,Настройки!$B$9*VLOOKUP(X12,Настройки!$A$16:$B$19,2,FALSE())+IF(AND($B12="ТТМ",U12="Да"),Настройки!$B$9*Настройки!$A$53,0)))</f>
        <v/>
      </c>
      <c r="Z12" s="34"/>
      <c r="AA12" s="34"/>
      <c r="AB12" s="34"/>
      <c r="AC12" s="34"/>
      <c r="AD12" s="35" t="str">
        <f aca="false">IF(OR($A12="",Z12=""),"",MIN(IF($B12="ТТП",IF(Z12/Настройки!$C$10&gt;=Настройки!$B$23,5,IF(Z12/Настройки!$C$10&gt;=Настройки!$B$24,4,IF(Z12/Настройки!$C$10&gt;=Настройки!$B$25,3,2))),IF($B12="ТТМ",IF(Z12/Настройки!$C$10&gt;=Настройки!$B$29,5,IF(Z12/Настройки!$C$10&gt;=Настройки!$B$30,4,IF(Z12/Настройки!$C$10&gt;=Настройки!$B$31,3,2))),"")),IF($B12&lt;&gt;"ТТП",5,IF(AA12="Да",5,4)),IFERROR(VLOOKUP(AB12,Настройки!$A$35:$B$37,2,FALSE()),5),IFERROR(VLOOKUP(AC12,Настройки!$A$41:$B$44,2,FALSE()),5)))</f>
        <v/>
      </c>
      <c r="AE12" s="36" t="str">
        <f aca="false">IF(AD12="","",MIN(Настройки!$B$10,Настройки!$B$10*VLOOKUP(AD12,Настройки!$A$16:$B$19,2,FALSE())+IF(AND($B12="ТТМ",AA12="Да"),Настройки!$B$10*Настройки!$A$53,0)))</f>
        <v/>
      </c>
      <c r="AF12" s="34"/>
      <c r="AG12" s="34"/>
      <c r="AH12" s="34"/>
      <c r="AI12" s="34"/>
      <c r="AJ12" s="35" t="str">
        <f aca="false">IF(OR($A12="",AF12=""),"",MIN(IF($B12="ТТП",IF(AF12/Настройки!$C$11&gt;=Настройки!$B$23,5,IF(AF12/Настройки!$C$11&gt;=Настройки!$B$24,4,IF(AF12/Настройки!$C$11&gt;=Настройки!$B$25,3,2))),IF($B12="ТТМ",IF(AF12/Настройки!$C$11&gt;=Настройки!$B$29,5,IF(AF12/Настройки!$C$11&gt;=Настройки!$B$30,4,IF(AF12/Настройки!$C$11&gt;=Настройки!$B$31,3,2))),"")),IF($B12&lt;&gt;"ТТП",5,IF(AG12="Да",5,4)),IFERROR(VLOOKUP(AH12,Настройки!$A$35:$B$37,2,FALSE()),5),IFERROR(VLOOKUP(AI12,Настройки!$A$41:$B$44,2,FALSE()),5)))</f>
        <v/>
      </c>
      <c r="AK12" s="36" t="str">
        <f aca="false">IF(AJ12="","",MIN(Настройки!$B$11,Настройки!$B$11*VLOOKUP(AJ12,Настройки!$A$16:$B$19,2,FALSE())+IF(AND($B12="ТТМ",AG12="Да"),Настройки!$B$11*Настройки!$A$53,0)))</f>
        <v/>
      </c>
      <c r="AL12" s="34"/>
      <c r="AM12" s="34"/>
      <c r="AN12" s="34"/>
      <c r="AO12" s="35" t="str">
        <f aca="false">IF(OR($A12="",AL12=""),"",MIN(IF($B12="ТТП",IF(AL12/Настройки!$C$57&gt;=Настройки!$B$23,5,IF(AL12/Настройки!$C$57&gt;=Настройки!$B$24,4,IF(AL12/Настройки!$C$57&gt;=Настройки!$B$25,3,2))),IF($B12="ТТМ",IF(AL12/Настройки!$C$57&gt;=Настройки!$B$29,5,IF(AL12/Настройки!$C$57&gt;=Настройки!$B$30,4,IF(AL12/Настройки!$C$57&gt;=Настройки!$B$31,3,2))),"")),IF($B12&lt;&gt;"ТТП",5,IF(AM12="Да",5,4)),IFERROR(VLOOKUP(AN12,Настройки!$A$35:$B$37,2,FALSE()),5)))</f>
        <v/>
      </c>
      <c r="AP12" s="36" t="str">
        <f aca="false">IF(AO12="","",MIN(Настройки!$B$57,Настройки!$B$57*VLOOKUP(AO12,Настройки!$A$16:$B$19,2,FALSE())+IF(AND($B12="ТТМ",AM12="Да"),Настройки!$B$57*Настройки!$A$53,0)))</f>
        <v/>
      </c>
      <c r="AQ12" s="36" t="str">
        <f aca="false">IF($A12="","",SUM(G12,M12,S12,Y12,AE12,AK12)+IF(AP12="",0,AP12))</f>
        <v/>
      </c>
      <c r="AR12" s="37" t="str">
        <f aca="false">IF(AQ12="","",VLOOKUP(AQ12,Настройки!$A$48:$B$51,2,TRUE()))</f>
        <v/>
      </c>
    </row>
    <row r="13" customFormat="false" ht="15" hidden="false" customHeight="true" outlineLevel="0" collapsed="false">
      <c r="A13" s="10"/>
      <c r="B13" s="34"/>
      <c r="C13" s="34"/>
      <c r="D13" s="34"/>
      <c r="E13" s="34"/>
      <c r="F13" s="35" t="str">
        <f aca="false">IF(OR($A13="",C13=""),"",MIN(IF($B13="ТТП",IF(C13/Настройки!$C$6&gt;=Настройки!$B$23,5,IF(C13/Настройки!$C$6&gt;=Настройки!$B$24,4,IF(C13/Настройки!$C$6&gt;=Настройки!$B$25,3,2))),IF($B13="ТТМ",IF(C13/Настройки!$C$6&gt;=Настройки!$B$29,5,IF(C13/Настройки!$C$6&gt;=Настройки!$B$30,4,IF(C13/Настройки!$C$6&gt;=Настройки!$B$31,3,2))),"")),IFERROR(VLOOKUP(D13,Настройки!$A$35:$B$37,2,FALSE()),5),IFERROR(VLOOKUP(E13,Настройки!$A$41:$B$44,2,FALSE()),5)))</f>
        <v/>
      </c>
      <c r="G13" s="36" t="str">
        <f aca="false">IF(F13="","",Настройки!$B$6*VLOOKUP(F13,Настройки!$A$16:$B$19,2,FALSE()))</f>
        <v/>
      </c>
      <c r="H13" s="34"/>
      <c r="I13" s="34"/>
      <c r="J13" s="34"/>
      <c r="K13" s="34"/>
      <c r="L13" s="35" t="str">
        <f aca="false">IF(OR($A13="",H13=""),"",MIN(IF($B13="ТТП",IF(H13/Настройки!$C$7&gt;=Настройки!$B$23,5,IF(H13/Настройки!$C$7&gt;=Настройки!$B$24,4,IF(H13/Настройки!$C$7&gt;=Настройки!$B$25,3,2))),IF($B13="ТТМ",IF(H13/Настройки!$C$7&gt;=Настройки!$B$29,5,IF(H13/Настройки!$C$7&gt;=Настройки!$B$30,4,IF(H13/Настройки!$C$7&gt;=Настройки!$B$31,3,2))),"")),IF($B13&lt;&gt;"ТТП",5,IF(I13="Да",5,4)),IFERROR(VLOOKUP(J13,Настройки!$A$35:$B$37,2,FALSE()),5),IFERROR(VLOOKUP(K13,Настройки!$A$41:$B$44,2,FALSE()),5)))</f>
        <v/>
      </c>
      <c r="M13" s="36" t="str">
        <f aca="false">IF(L13="","",MIN(Настройки!$B$7,Настройки!$B$7*VLOOKUP(L13,Настройки!$A$16:$B$19,2,FALSE())+IF(AND($B13="ТТМ",I13="Да"),Настройки!$B$7*Настройки!$A$53,0)))</f>
        <v/>
      </c>
      <c r="N13" s="34"/>
      <c r="O13" s="34"/>
      <c r="P13" s="34"/>
      <c r="Q13" s="34"/>
      <c r="R13" s="35" t="str">
        <f aca="false">IF(OR($A13="",N13=""),"",MIN(IF($B13="ТТП",IF(N13/Настройки!$C$8&gt;=Настройки!$B$23,5,IF(N13/Настройки!$C$8&gt;=Настройки!$B$24,4,IF(N13/Настройки!$C$8&gt;=Настройки!$B$25,3,2))),IF($B13="ТТМ",IF(N13/Настройки!$C$8&gt;=Настройки!$B$29,5,IF(N13/Настройки!$C$8&gt;=Настройки!$B$30,4,IF(N13/Настройки!$C$8&gt;=Настройки!$B$31,3,2))),"")),IF($B13&lt;&gt;"ТТП",5,IF(O13="Да",5,4)),IFERROR(VLOOKUP(P13,Настройки!$A$35:$B$37,2,FALSE()),5),IFERROR(VLOOKUP(Q13,Настройки!$A$41:$B$44,2,FALSE()),5)))</f>
        <v/>
      </c>
      <c r="S13" s="36" t="str">
        <f aca="false">IF(R13="","",MIN(Настройки!$B$8,Настройки!$B$8*VLOOKUP(R13,Настройки!$A$16:$B$19,2,FALSE())+IF(AND($B13="ТТМ",O13="Да"),Настройки!$B$8*Настройки!$A$53,0)))</f>
        <v/>
      </c>
      <c r="T13" s="34"/>
      <c r="U13" s="34"/>
      <c r="V13" s="34"/>
      <c r="W13" s="34"/>
      <c r="X13" s="35" t="str">
        <f aca="false">IF(OR($A13="",T13=""),"",MIN(IF($B13="ТТП",IF(T13/Настройки!$C$9&gt;=Настройки!$B$23,5,IF(T13/Настройки!$C$9&gt;=Настройки!$B$24,4,IF(T13/Настройки!$C$9&gt;=Настройки!$B$25,3,2))),IF($B13="ТТМ",IF(T13/Настройки!$C$9&gt;=Настройки!$B$29,5,IF(T13/Настройки!$C$9&gt;=Настройки!$B$30,4,IF(T13/Настройки!$C$9&gt;=Настройки!$B$31,3,2))),"")),IF($B13&lt;&gt;"ТТП",5,IF(U13="Да",5,4)),IFERROR(VLOOKUP(V13,Настройки!$A$35:$B$37,2,FALSE()),5),IFERROR(VLOOKUP(W13,Настройки!$A$41:$B$44,2,FALSE()),5)))</f>
        <v/>
      </c>
      <c r="Y13" s="36" t="str">
        <f aca="false">IF(X13="","",MIN(Настройки!$B$9,Настройки!$B$9*VLOOKUP(X13,Настройки!$A$16:$B$19,2,FALSE())+IF(AND($B13="ТТМ",U13="Да"),Настройки!$B$9*Настройки!$A$53,0)))</f>
        <v/>
      </c>
      <c r="Z13" s="34"/>
      <c r="AA13" s="34"/>
      <c r="AB13" s="34"/>
      <c r="AC13" s="34"/>
      <c r="AD13" s="35" t="str">
        <f aca="false">IF(OR($A13="",Z13=""),"",MIN(IF($B13="ТТП",IF(Z13/Настройки!$C$10&gt;=Настройки!$B$23,5,IF(Z13/Настройки!$C$10&gt;=Настройки!$B$24,4,IF(Z13/Настройки!$C$10&gt;=Настройки!$B$25,3,2))),IF($B13="ТТМ",IF(Z13/Настройки!$C$10&gt;=Настройки!$B$29,5,IF(Z13/Настройки!$C$10&gt;=Настройки!$B$30,4,IF(Z13/Настройки!$C$10&gt;=Настройки!$B$31,3,2))),"")),IF($B13&lt;&gt;"ТТП",5,IF(AA13="Да",5,4)),IFERROR(VLOOKUP(AB13,Настройки!$A$35:$B$37,2,FALSE()),5),IFERROR(VLOOKUP(AC13,Настройки!$A$41:$B$44,2,FALSE()),5)))</f>
        <v/>
      </c>
      <c r="AE13" s="36" t="str">
        <f aca="false">IF(AD13="","",MIN(Настройки!$B$10,Настройки!$B$10*VLOOKUP(AD13,Настройки!$A$16:$B$19,2,FALSE())+IF(AND($B13="ТТМ",AA13="Да"),Настройки!$B$10*Настройки!$A$53,0)))</f>
        <v/>
      </c>
      <c r="AF13" s="34"/>
      <c r="AG13" s="34"/>
      <c r="AH13" s="34"/>
      <c r="AI13" s="34"/>
      <c r="AJ13" s="35" t="str">
        <f aca="false">IF(OR($A13="",AF13=""),"",MIN(IF($B13="ТТП",IF(AF13/Настройки!$C$11&gt;=Настройки!$B$23,5,IF(AF13/Настройки!$C$11&gt;=Настройки!$B$24,4,IF(AF13/Настройки!$C$11&gt;=Настройки!$B$25,3,2))),IF($B13="ТТМ",IF(AF13/Настройки!$C$11&gt;=Настройки!$B$29,5,IF(AF13/Настройки!$C$11&gt;=Настройки!$B$30,4,IF(AF13/Настройки!$C$11&gt;=Настройки!$B$31,3,2))),"")),IF($B13&lt;&gt;"ТТП",5,IF(AG13="Да",5,4)),IFERROR(VLOOKUP(AH13,Настройки!$A$35:$B$37,2,FALSE()),5),IFERROR(VLOOKUP(AI13,Настройки!$A$41:$B$44,2,FALSE()),5)))</f>
        <v/>
      </c>
      <c r="AK13" s="36" t="str">
        <f aca="false">IF(AJ13="","",MIN(Настройки!$B$11,Настройки!$B$11*VLOOKUP(AJ13,Настройки!$A$16:$B$19,2,FALSE())+IF(AND($B13="ТТМ",AG13="Да"),Настройки!$B$11*Настройки!$A$53,0)))</f>
        <v/>
      </c>
      <c r="AL13" s="34"/>
      <c r="AM13" s="34"/>
      <c r="AN13" s="34"/>
      <c r="AO13" s="35" t="str">
        <f aca="false">IF(OR($A13="",AL13=""),"",MIN(IF($B13="ТТП",IF(AL13/Настройки!$C$57&gt;=Настройки!$B$23,5,IF(AL13/Настройки!$C$57&gt;=Настройки!$B$24,4,IF(AL13/Настройки!$C$57&gt;=Настройки!$B$25,3,2))),IF($B13="ТТМ",IF(AL13/Настройки!$C$57&gt;=Настройки!$B$29,5,IF(AL13/Настройки!$C$57&gt;=Настройки!$B$30,4,IF(AL13/Настройки!$C$57&gt;=Настройки!$B$31,3,2))),"")),IF($B13&lt;&gt;"ТТП",5,IF(AM13="Да",5,4)),IFERROR(VLOOKUP(AN13,Настройки!$A$35:$B$37,2,FALSE()),5)))</f>
        <v/>
      </c>
      <c r="AP13" s="36" t="str">
        <f aca="false">IF(AO13="","",MIN(Настройки!$B$57,Настройки!$B$57*VLOOKUP(AO13,Настройки!$A$16:$B$19,2,FALSE())+IF(AND($B13="ТТМ",AM13="Да"),Настройки!$B$57*Настройки!$A$53,0)))</f>
        <v/>
      </c>
      <c r="AQ13" s="36" t="str">
        <f aca="false">IF($A13="","",SUM(G13,M13,S13,Y13,AE13,AK13)+IF(AP13="",0,AP13))</f>
        <v/>
      </c>
      <c r="AR13" s="37" t="str">
        <f aca="false">IF(AQ13="","",VLOOKUP(AQ13,Настройки!$A$48:$B$51,2,TRUE()))</f>
        <v/>
      </c>
    </row>
    <row r="14" customFormat="false" ht="15" hidden="false" customHeight="true" outlineLevel="0" collapsed="false">
      <c r="A14" s="10"/>
      <c r="B14" s="34"/>
      <c r="C14" s="34"/>
      <c r="D14" s="34"/>
      <c r="E14" s="34"/>
      <c r="F14" s="35" t="str">
        <f aca="false">IF(OR($A14="",C14=""),"",MIN(IF($B14="ТТП",IF(C14/Настройки!$C$6&gt;=Настройки!$B$23,5,IF(C14/Настройки!$C$6&gt;=Настройки!$B$24,4,IF(C14/Настройки!$C$6&gt;=Настройки!$B$25,3,2))),IF($B14="ТТМ",IF(C14/Настройки!$C$6&gt;=Настройки!$B$29,5,IF(C14/Настройки!$C$6&gt;=Настройки!$B$30,4,IF(C14/Настройки!$C$6&gt;=Настройки!$B$31,3,2))),"")),IFERROR(VLOOKUP(D14,Настройки!$A$35:$B$37,2,FALSE()),5),IFERROR(VLOOKUP(E14,Настройки!$A$41:$B$44,2,FALSE()),5)))</f>
        <v/>
      </c>
      <c r="G14" s="36" t="str">
        <f aca="false">IF(F14="","",Настройки!$B$6*VLOOKUP(F14,Настройки!$A$16:$B$19,2,FALSE()))</f>
        <v/>
      </c>
      <c r="H14" s="34"/>
      <c r="I14" s="34"/>
      <c r="J14" s="34"/>
      <c r="K14" s="34"/>
      <c r="L14" s="35" t="str">
        <f aca="false">IF(OR($A14="",H14=""),"",MIN(IF($B14="ТТП",IF(H14/Настройки!$C$7&gt;=Настройки!$B$23,5,IF(H14/Настройки!$C$7&gt;=Настройки!$B$24,4,IF(H14/Настройки!$C$7&gt;=Настройки!$B$25,3,2))),IF($B14="ТТМ",IF(H14/Настройки!$C$7&gt;=Настройки!$B$29,5,IF(H14/Настройки!$C$7&gt;=Настройки!$B$30,4,IF(H14/Настройки!$C$7&gt;=Настройки!$B$31,3,2))),"")),IF($B14&lt;&gt;"ТТП",5,IF(I14="Да",5,4)),IFERROR(VLOOKUP(J14,Настройки!$A$35:$B$37,2,FALSE()),5),IFERROR(VLOOKUP(K14,Настройки!$A$41:$B$44,2,FALSE()),5)))</f>
        <v/>
      </c>
      <c r="M14" s="36" t="str">
        <f aca="false">IF(L14="","",MIN(Настройки!$B$7,Настройки!$B$7*VLOOKUP(L14,Настройки!$A$16:$B$19,2,FALSE())+IF(AND($B14="ТТМ",I14="Да"),Настройки!$B$7*Настройки!$A$53,0)))</f>
        <v/>
      </c>
      <c r="N14" s="34"/>
      <c r="O14" s="34"/>
      <c r="P14" s="34"/>
      <c r="Q14" s="34"/>
      <c r="R14" s="35" t="str">
        <f aca="false">IF(OR($A14="",N14=""),"",MIN(IF($B14="ТТП",IF(N14/Настройки!$C$8&gt;=Настройки!$B$23,5,IF(N14/Настройки!$C$8&gt;=Настройки!$B$24,4,IF(N14/Настройки!$C$8&gt;=Настройки!$B$25,3,2))),IF($B14="ТТМ",IF(N14/Настройки!$C$8&gt;=Настройки!$B$29,5,IF(N14/Настройки!$C$8&gt;=Настройки!$B$30,4,IF(N14/Настройки!$C$8&gt;=Настройки!$B$31,3,2))),"")),IF($B14&lt;&gt;"ТТП",5,IF(O14="Да",5,4)),IFERROR(VLOOKUP(P14,Настройки!$A$35:$B$37,2,FALSE()),5),IFERROR(VLOOKUP(Q14,Настройки!$A$41:$B$44,2,FALSE()),5)))</f>
        <v/>
      </c>
      <c r="S14" s="36" t="str">
        <f aca="false">IF(R14="","",MIN(Настройки!$B$8,Настройки!$B$8*VLOOKUP(R14,Настройки!$A$16:$B$19,2,FALSE())+IF(AND($B14="ТТМ",O14="Да"),Настройки!$B$8*Настройки!$A$53,0)))</f>
        <v/>
      </c>
      <c r="T14" s="34"/>
      <c r="U14" s="34"/>
      <c r="V14" s="34"/>
      <c r="W14" s="34"/>
      <c r="X14" s="35" t="str">
        <f aca="false">IF(OR($A14="",T14=""),"",MIN(IF($B14="ТТП",IF(T14/Настройки!$C$9&gt;=Настройки!$B$23,5,IF(T14/Настройки!$C$9&gt;=Настройки!$B$24,4,IF(T14/Настройки!$C$9&gt;=Настройки!$B$25,3,2))),IF($B14="ТТМ",IF(T14/Настройки!$C$9&gt;=Настройки!$B$29,5,IF(T14/Настройки!$C$9&gt;=Настройки!$B$30,4,IF(T14/Настройки!$C$9&gt;=Настройки!$B$31,3,2))),"")),IF($B14&lt;&gt;"ТТП",5,IF(U14="Да",5,4)),IFERROR(VLOOKUP(V14,Настройки!$A$35:$B$37,2,FALSE()),5),IFERROR(VLOOKUP(W14,Настройки!$A$41:$B$44,2,FALSE()),5)))</f>
        <v/>
      </c>
      <c r="Y14" s="36" t="str">
        <f aca="false">IF(X14="","",MIN(Настройки!$B$9,Настройки!$B$9*VLOOKUP(X14,Настройки!$A$16:$B$19,2,FALSE())+IF(AND($B14="ТТМ",U14="Да"),Настройки!$B$9*Настройки!$A$53,0)))</f>
        <v/>
      </c>
      <c r="Z14" s="34"/>
      <c r="AA14" s="34"/>
      <c r="AB14" s="34"/>
      <c r="AC14" s="34"/>
      <c r="AD14" s="35" t="str">
        <f aca="false">IF(OR($A14="",Z14=""),"",MIN(IF($B14="ТТП",IF(Z14/Настройки!$C$10&gt;=Настройки!$B$23,5,IF(Z14/Настройки!$C$10&gt;=Настройки!$B$24,4,IF(Z14/Настройки!$C$10&gt;=Настройки!$B$25,3,2))),IF($B14="ТТМ",IF(Z14/Настройки!$C$10&gt;=Настройки!$B$29,5,IF(Z14/Настройки!$C$10&gt;=Настройки!$B$30,4,IF(Z14/Настройки!$C$10&gt;=Настройки!$B$31,3,2))),"")),IF($B14&lt;&gt;"ТТП",5,IF(AA14="Да",5,4)),IFERROR(VLOOKUP(AB14,Настройки!$A$35:$B$37,2,FALSE()),5),IFERROR(VLOOKUP(AC14,Настройки!$A$41:$B$44,2,FALSE()),5)))</f>
        <v/>
      </c>
      <c r="AE14" s="36" t="str">
        <f aca="false">IF(AD14="","",MIN(Настройки!$B$10,Настройки!$B$10*VLOOKUP(AD14,Настройки!$A$16:$B$19,2,FALSE())+IF(AND($B14="ТТМ",AA14="Да"),Настройки!$B$10*Настройки!$A$53,0)))</f>
        <v/>
      </c>
      <c r="AF14" s="34"/>
      <c r="AG14" s="34"/>
      <c r="AH14" s="34"/>
      <c r="AI14" s="34"/>
      <c r="AJ14" s="35" t="str">
        <f aca="false">IF(OR($A14="",AF14=""),"",MIN(IF($B14="ТТП",IF(AF14/Настройки!$C$11&gt;=Настройки!$B$23,5,IF(AF14/Настройки!$C$11&gt;=Настройки!$B$24,4,IF(AF14/Настройки!$C$11&gt;=Настройки!$B$25,3,2))),IF($B14="ТТМ",IF(AF14/Настройки!$C$11&gt;=Настройки!$B$29,5,IF(AF14/Настройки!$C$11&gt;=Настройки!$B$30,4,IF(AF14/Настройки!$C$11&gt;=Настройки!$B$31,3,2))),"")),IF($B14&lt;&gt;"ТТП",5,IF(AG14="Да",5,4)),IFERROR(VLOOKUP(AH14,Настройки!$A$35:$B$37,2,FALSE()),5),IFERROR(VLOOKUP(AI14,Настройки!$A$41:$B$44,2,FALSE()),5)))</f>
        <v/>
      </c>
      <c r="AK14" s="36" t="str">
        <f aca="false">IF(AJ14="","",MIN(Настройки!$B$11,Настройки!$B$11*VLOOKUP(AJ14,Настройки!$A$16:$B$19,2,FALSE())+IF(AND($B14="ТТМ",AG14="Да"),Настройки!$B$11*Настройки!$A$53,0)))</f>
        <v/>
      </c>
      <c r="AL14" s="34"/>
      <c r="AM14" s="34"/>
      <c r="AN14" s="34"/>
      <c r="AO14" s="35" t="str">
        <f aca="false">IF(OR($A14="",AL14=""),"",MIN(IF($B14="ТТП",IF(AL14/Настройки!$C$57&gt;=Настройки!$B$23,5,IF(AL14/Настройки!$C$57&gt;=Настройки!$B$24,4,IF(AL14/Настройки!$C$57&gt;=Настройки!$B$25,3,2))),IF($B14="ТТМ",IF(AL14/Настройки!$C$57&gt;=Настройки!$B$29,5,IF(AL14/Настройки!$C$57&gt;=Настройки!$B$30,4,IF(AL14/Настройки!$C$57&gt;=Настройки!$B$31,3,2))),"")),IF($B14&lt;&gt;"ТТП",5,IF(AM14="Да",5,4)),IFERROR(VLOOKUP(AN14,Настройки!$A$35:$B$37,2,FALSE()),5)))</f>
        <v/>
      </c>
      <c r="AP14" s="36" t="str">
        <f aca="false">IF(AO14="","",MIN(Настройки!$B$57,Настройки!$B$57*VLOOKUP(AO14,Настройки!$A$16:$B$19,2,FALSE())+IF(AND($B14="ТТМ",AM14="Да"),Настройки!$B$57*Настройки!$A$53,0)))</f>
        <v/>
      </c>
      <c r="AQ14" s="36" t="str">
        <f aca="false">IF($A14="","",SUM(G14,M14,S14,Y14,AE14,AK14)+IF(AP14="",0,AP14))</f>
        <v/>
      </c>
      <c r="AR14" s="37" t="str">
        <f aca="false">IF(AQ14="","",VLOOKUP(AQ14,Настройки!$A$48:$B$51,2,TRUE()))</f>
        <v/>
      </c>
    </row>
    <row r="15" customFormat="false" ht="15" hidden="false" customHeight="true" outlineLevel="0" collapsed="false">
      <c r="A15" s="10"/>
      <c r="B15" s="34"/>
      <c r="C15" s="34"/>
      <c r="D15" s="34"/>
      <c r="E15" s="34"/>
      <c r="F15" s="35" t="str">
        <f aca="false">IF(OR($A15="",C15=""),"",MIN(IF($B15="ТТП",IF(C15/Настройки!$C$6&gt;=Настройки!$B$23,5,IF(C15/Настройки!$C$6&gt;=Настройки!$B$24,4,IF(C15/Настройки!$C$6&gt;=Настройки!$B$25,3,2))),IF($B15="ТТМ",IF(C15/Настройки!$C$6&gt;=Настройки!$B$29,5,IF(C15/Настройки!$C$6&gt;=Настройки!$B$30,4,IF(C15/Настройки!$C$6&gt;=Настройки!$B$31,3,2))),"")),IFERROR(VLOOKUP(D15,Настройки!$A$35:$B$37,2,FALSE()),5),IFERROR(VLOOKUP(E15,Настройки!$A$41:$B$44,2,FALSE()),5)))</f>
        <v/>
      </c>
      <c r="G15" s="36" t="str">
        <f aca="false">IF(F15="","",Настройки!$B$6*VLOOKUP(F15,Настройки!$A$16:$B$19,2,FALSE()))</f>
        <v/>
      </c>
      <c r="H15" s="34"/>
      <c r="I15" s="34"/>
      <c r="J15" s="34"/>
      <c r="K15" s="34"/>
      <c r="L15" s="35" t="str">
        <f aca="false">IF(OR($A15="",H15=""),"",MIN(IF($B15="ТТП",IF(H15/Настройки!$C$7&gt;=Настройки!$B$23,5,IF(H15/Настройки!$C$7&gt;=Настройки!$B$24,4,IF(H15/Настройки!$C$7&gt;=Настройки!$B$25,3,2))),IF($B15="ТТМ",IF(H15/Настройки!$C$7&gt;=Настройки!$B$29,5,IF(H15/Настройки!$C$7&gt;=Настройки!$B$30,4,IF(H15/Настройки!$C$7&gt;=Настройки!$B$31,3,2))),"")),IF($B15&lt;&gt;"ТТП",5,IF(I15="Да",5,4)),IFERROR(VLOOKUP(J15,Настройки!$A$35:$B$37,2,FALSE()),5),IFERROR(VLOOKUP(K15,Настройки!$A$41:$B$44,2,FALSE()),5)))</f>
        <v/>
      </c>
      <c r="M15" s="36" t="str">
        <f aca="false">IF(L15="","",MIN(Настройки!$B$7,Настройки!$B$7*VLOOKUP(L15,Настройки!$A$16:$B$19,2,FALSE())+IF(AND($B15="ТТМ",I15="Да"),Настройки!$B$7*Настройки!$A$53,0)))</f>
        <v/>
      </c>
      <c r="N15" s="34"/>
      <c r="O15" s="34"/>
      <c r="P15" s="34"/>
      <c r="Q15" s="34"/>
      <c r="R15" s="35" t="str">
        <f aca="false">IF(OR($A15="",N15=""),"",MIN(IF($B15="ТТП",IF(N15/Настройки!$C$8&gt;=Настройки!$B$23,5,IF(N15/Настройки!$C$8&gt;=Настройки!$B$24,4,IF(N15/Настройки!$C$8&gt;=Настройки!$B$25,3,2))),IF($B15="ТТМ",IF(N15/Настройки!$C$8&gt;=Настройки!$B$29,5,IF(N15/Настройки!$C$8&gt;=Настройки!$B$30,4,IF(N15/Настройки!$C$8&gt;=Настройки!$B$31,3,2))),"")),IF($B15&lt;&gt;"ТТП",5,IF(O15="Да",5,4)),IFERROR(VLOOKUP(P15,Настройки!$A$35:$B$37,2,FALSE()),5),IFERROR(VLOOKUP(Q15,Настройки!$A$41:$B$44,2,FALSE()),5)))</f>
        <v/>
      </c>
      <c r="S15" s="36" t="str">
        <f aca="false">IF(R15="","",MIN(Настройки!$B$8,Настройки!$B$8*VLOOKUP(R15,Настройки!$A$16:$B$19,2,FALSE())+IF(AND($B15="ТТМ",O15="Да"),Настройки!$B$8*Настройки!$A$53,0)))</f>
        <v/>
      </c>
      <c r="T15" s="34"/>
      <c r="U15" s="34"/>
      <c r="V15" s="34"/>
      <c r="W15" s="34"/>
      <c r="X15" s="35" t="str">
        <f aca="false">IF(OR($A15="",T15=""),"",MIN(IF($B15="ТТП",IF(T15/Настройки!$C$9&gt;=Настройки!$B$23,5,IF(T15/Настройки!$C$9&gt;=Настройки!$B$24,4,IF(T15/Настройки!$C$9&gt;=Настройки!$B$25,3,2))),IF($B15="ТТМ",IF(T15/Настройки!$C$9&gt;=Настройки!$B$29,5,IF(T15/Настройки!$C$9&gt;=Настройки!$B$30,4,IF(T15/Настройки!$C$9&gt;=Настройки!$B$31,3,2))),"")),IF($B15&lt;&gt;"ТТП",5,IF(U15="Да",5,4)),IFERROR(VLOOKUP(V15,Настройки!$A$35:$B$37,2,FALSE()),5),IFERROR(VLOOKUP(W15,Настройки!$A$41:$B$44,2,FALSE()),5)))</f>
        <v/>
      </c>
      <c r="Y15" s="36" t="str">
        <f aca="false">IF(X15="","",MIN(Настройки!$B$9,Настройки!$B$9*VLOOKUP(X15,Настройки!$A$16:$B$19,2,FALSE())+IF(AND($B15="ТТМ",U15="Да"),Настройки!$B$9*Настройки!$A$53,0)))</f>
        <v/>
      </c>
      <c r="Z15" s="34"/>
      <c r="AA15" s="34"/>
      <c r="AB15" s="34"/>
      <c r="AC15" s="34"/>
      <c r="AD15" s="35" t="str">
        <f aca="false">IF(OR($A15="",Z15=""),"",MIN(IF($B15="ТТП",IF(Z15/Настройки!$C$10&gt;=Настройки!$B$23,5,IF(Z15/Настройки!$C$10&gt;=Настройки!$B$24,4,IF(Z15/Настройки!$C$10&gt;=Настройки!$B$25,3,2))),IF($B15="ТТМ",IF(Z15/Настройки!$C$10&gt;=Настройки!$B$29,5,IF(Z15/Настройки!$C$10&gt;=Настройки!$B$30,4,IF(Z15/Настройки!$C$10&gt;=Настройки!$B$31,3,2))),"")),IF($B15&lt;&gt;"ТТП",5,IF(AA15="Да",5,4)),IFERROR(VLOOKUP(AB15,Настройки!$A$35:$B$37,2,FALSE()),5),IFERROR(VLOOKUP(AC15,Настройки!$A$41:$B$44,2,FALSE()),5)))</f>
        <v/>
      </c>
      <c r="AE15" s="36" t="str">
        <f aca="false">IF(AD15="","",MIN(Настройки!$B$10,Настройки!$B$10*VLOOKUP(AD15,Настройки!$A$16:$B$19,2,FALSE())+IF(AND($B15="ТТМ",AA15="Да"),Настройки!$B$10*Настройки!$A$53,0)))</f>
        <v/>
      </c>
      <c r="AF15" s="34"/>
      <c r="AG15" s="34"/>
      <c r="AH15" s="34"/>
      <c r="AI15" s="34"/>
      <c r="AJ15" s="35" t="str">
        <f aca="false">IF(OR($A15="",AF15=""),"",MIN(IF($B15="ТТП",IF(AF15/Настройки!$C$11&gt;=Настройки!$B$23,5,IF(AF15/Настройки!$C$11&gt;=Настройки!$B$24,4,IF(AF15/Настройки!$C$11&gt;=Настройки!$B$25,3,2))),IF($B15="ТТМ",IF(AF15/Настройки!$C$11&gt;=Настройки!$B$29,5,IF(AF15/Настройки!$C$11&gt;=Настройки!$B$30,4,IF(AF15/Настройки!$C$11&gt;=Настройки!$B$31,3,2))),"")),IF($B15&lt;&gt;"ТТП",5,IF(AG15="Да",5,4)),IFERROR(VLOOKUP(AH15,Настройки!$A$35:$B$37,2,FALSE()),5),IFERROR(VLOOKUP(AI15,Настройки!$A$41:$B$44,2,FALSE()),5)))</f>
        <v/>
      </c>
      <c r="AK15" s="36" t="str">
        <f aca="false">IF(AJ15="","",MIN(Настройки!$B$11,Настройки!$B$11*VLOOKUP(AJ15,Настройки!$A$16:$B$19,2,FALSE())+IF(AND($B15="ТТМ",AG15="Да"),Настройки!$B$11*Настройки!$A$53,0)))</f>
        <v/>
      </c>
      <c r="AL15" s="34"/>
      <c r="AM15" s="34"/>
      <c r="AN15" s="34"/>
      <c r="AO15" s="35" t="str">
        <f aca="false">IF(OR($A15="",AL15=""),"",MIN(IF($B15="ТТП",IF(AL15/Настройки!$C$57&gt;=Настройки!$B$23,5,IF(AL15/Настройки!$C$57&gt;=Настройки!$B$24,4,IF(AL15/Настройки!$C$57&gt;=Настройки!$B$25,3,2))),IF($B15="ТТМ",IF(AL15/Настройки!$C$57&gt;=Настройки!$B$29,5,IF(AL15/Настройки!$C$57&gt;=Настройки!$B$30,4,IF(AL15/Настройки!$C$57&gt;=Настройки!$B$31,3,2))),"")),IF($B15&lt;&gt;"ТТП",5,IF(AM15="Да",5,4)),IFERROR(VLOOKUP(AN15,Настройки!$A$35:$B$37,2,FALSE()),5)))</f>
        <v/>
      </c>
      <c r="AP15" s="36" t="str">
        <f aca="false">IF(AO15="","",MIN(Настройки!$B$57,Настройки!$B$57*VLOOKUP(AO15,Настройки!$A$16:$B$19,2,FALSE())+IF(AND($B15="ТТМ",AM15="Да"),Настройки!$B$57*Настройки!$A$53,0)))</f>
        <v/>
      </c>
      <c r="AQ15" s="36" t="str">
        <f aca="false">IF($A15="","",SUM(G15,M15,S15,Y15,AE15,AK15)+IF(AP15="",0,AP15))</f>
        <v/>
      </c>
      <c r="AR15" s="37" t="str">
        <f aca="false">IF(AQ15="","",VLOOKUP(AQ15,Настройки!$A$48:$B$51,2,TRUE()))</f>
        <v/>
      </c>
    </row>
    <row r="16" customFormat="false" ht="15" hidden="false" customHeight="true" outlineLevel="0" collapsed="false">
      <c r="A16" s="10"/>
      <c r="B16" s="34"/>
      <c r="C16" s="34"/>
      <c r="D16" s="34"/>
      <c r="E16" s="34"/>
      <c r="F16" s="35" t="str">
        <f aca="false">IF(OR($A16="",C16=""),"",MIN(IF($B16="ТТП",IF(C16/Настройки!$C$6&gt;=Настройки!$B$23,5,IF(C16/Настройки!$C$6&gt;=Настройки!$B$24,4,IF(C16/Настройки!$C$6&gt;=Настройки!$B$25,3,2))),IF($B16="ТТМ",IF(C16/Настройки!$C$6&gt;=Настройки!$B$29,5,IF(C16/Настройки!$C$6&gt;=Настройки!$B$30,4,IF(C16/Настройки!$C$6&gt;=Настройки!$B$31,3,2))),"")),IFERROR(VLOOKUP(D16,Настройки!$A$35:$B$37,2,FALSE()),5),IFERROR(VLOOKUP(E16,Настройки!$A$41:$B$44,2,FALSE()),5)))</f>
        <v/>
      </c>
      <c r="G16" s="36" t="str">
        <f aca="false">IF(F16="","",Настройки!$B$6*VLOOKUP(F16,Настройки!$A$16:$B$19,2,FALSE()))</f>
        <v/>
      </c>
      <c r="H16" s="34"/>
      <c r="I16" s="34"/>
      <c r="J16" s="34"/>
      <c r="K16" s="34"/>
      <c r="L16" s="35" t="str">
        <f aca="false">IF(OR($A16="",H16=""),"",MIN(IF($B16="ТТП",IF(H16/Настройки!$C$7&gt;=Настройки!$B$23,5,IF(H16/Настройки!$C$7&gt;=Настройки!$B$24,4,IF(H16/Настройки!$C$7&gt;=Настройки!$B$25,3,2))),IF($B16="ТТМ",IF(H16/Настройки!$C$7&gt;=Настройки!$B$29,5,IF(H16/Настройки!$C$7&gt;=Настройки!$B$30,4,IF(H16/Настройки!$C$7&gt;=Настройки!$B$31,3,2))),"")),IF($B16&lt;&gt;"ТТП",5,IF(I16="Да",5,4)),IFERROR(VLOOKUP(J16,Настройки!$A$35:$B$37,2,FALSE()),5),IFERROR(VLOOKUP(K16,Настройки!$A$41:$B$44,2,FALSE()),5)))</f>
        <v/>
      </c>
      <c r="M16" s="36" t="str">
        <f aca="false">IF(L16="","",MIN(Настройки!$B$7,Настройки!$B$7*VLOOKUP(L16,Настройки!$A$16:$B$19,2,FALSE())+IF(AND($B16="ТТМ",I16="Да"),Настройки!$B$7*Настройки!$A$53,0)))</f>
        <v/>
      </c>
      <c r="N16" s="34"/>
      <c r="O16" s="34"/>
      <c r="P16" s="34"/>
      <c r="Q16" s="34"/>
      <c r="R16" s="35" t="str">
        <f aca="false">IF(OR($A16="",N16=""),"",MIN(IF($B16="ТТП",IF(N16/Настройки!$C$8&gt;=Настройки!$B$23,5,IF(N16/Настройки!$C$8&gt;=Настройки!$B$24,4,IF(N16/Настройки!$C$8&gt;=Настройки!$B$25,3,2))),IF($B16="ТТМ",IF(N16/Настройки!$C$8&gt;=Настройки!$B$29,5,IF(N16/Настройки!$C$8&gt;=Настройки!$B$30,4,IF(N16/Настройки!$C$8&gt;=Настройки!$B$31,3,2))),"")),IF($B16&lt;&gt;"ТТП",5,IF(O16="Да",5,4)),IFERROR(VLOOKUP(P16,Настройки!$A$35:$B$37,2,FALSE()),5),IFERROR(VLOOKUP(Q16,Настройки!$A$41:$B$44,2,FALSE()),5)))</f>
        <v/>
      </c>
      <c r="S16" s="36" t="str">
        <f aca="false">IF(R16="","",MIN(Настройки!$B$8,Настройки!$B$8*VLOOKUP(R16,Настройки!$A$16:$B$19,2,FALSE())+IF(AND($B16="ТТМ",O16="Да"),Настройки!$B$8*Настройки!$A$53,0)))</f>
        <v/>
      </c>
      <c r="T16" s="34"/>
      <c r="U16" s="34"/>
      <c r="V16" s="34"/>
      <c r="W16" s="34"/>
      <c r="X16" s="35" t="str">
        <f aca="false">IF(OR($A16="",T16=""),"",MIN(IF($B16="ТТП",IF(T16/Настройки!$C$9&gt;=Настройки!$B$23,5,IF(T16/Настройки!$C$9&gt;=Настройки!$B$24,4,IF(T16/Настройки!$C$9&gt;=Настройки!$B$25,3,2))),IF($B16="ТТМ",IF(T16/Настройки!$C$9&gt;=Настройки!$B$29,5,IF(T16/Настройки!$C$9&gt;=Настройки!$B$30,4,IF(T16/Настройки!$C$9&gt;=Настройки!$B$31,3,2))),"")),IF($B16&lt;&gt;"ТТП",5,IF(U16="Да",5,4)),IFERROR(VLOOKUP(V16,Настройки!$A$35:$B$37,2,FALSE()),5),IFERROR(VLOOKUP(W16,Настройки!$A$41:$B$44,2,FALSE()),5)))</f>
        <v/>
      </c>
      <c r="Y16" s="36" t="str">
        <f aca="false">IF(X16="","",MIN(Настройки!$B$9,Настройки!$B$9*VLOOKUP(X16,Настройки!$A$16:$B$19,2,FALSE())+IF(AND($B16="ТТМ",U16="Да"),Настройки!$B$9*Настройки!$A$53,0)))</f>
        <v/>
      </c>
      <c r="Z16" s="34"/>
      <c r="AA16" s="34"/>
      <c r="AB16" s="34"/>
      <c r="AC16" s="34"/>
      <c r="AD16" s="35" t="str">
        <f aca="false">IF(OR($A16="",Z16=""),"",MIN(IF($B16="ТТП",IF(Z16/Настройки!$C$10&gt;=Настройки!$B$23,5,IF(Z16/Настройки!$C$10&gt;=Настройки!$B$24,4,IF(Z16/Настройки!$C$10&gt;=Настройки!$B$25,3,2))),IF($B16="ТТМ",IF(Z16/Настройки!$C$10&gt;=Настройки!$B$29,5,IF(Z16/Настройки!$C$10&gt;=Настройки!$B$30,4,IF(Z16/Настройки!$C$10&gt;=Настройки!$B$31,3,2))),"")),IF($B16&lt;&gt;"ТТП",5,IF(AA16="Да",5,4)),IFERROR(VLOOKUP(AB16,Настройки!$A$35:$B$37,2,FALSE()),5),IFERROR(VLOOKUP(AC16,Настройки!$A$41:$B$44,2,FALSE()),5)))</f>
        <v/>
      </c>
      <c r="AE16" s="36" t="str">
        <f aca="false">IF(AD16="","",MIN(Настройки!$B$10,Настройки!$B$10*VLOOKUP(AD16,Настройки!$A$16:$B$19,2,FALSE())+IF(AND($B16="ТТМ",AA16="Да"),Настройки!$B$10*Настройки!$A$53,0)))</f>
        <v/>
      </c>
      <c r="AF16" s="34"/>
      <c r="AG16" s="34"/>
      <c r="AH16" s="34"/>
      <c r="AI16" s="34"/>
      <c r="AJ16" s="35" t="str">
        <f aca="false">IF(OR($A16="",AF16=""),"",MIN(IF($B16="ТТП",IF(AF16/Настройки!$C$11&gt;=Настройки!$B$23,5,IF(AF16/Настройки!$C$11&gt;=Настройки!$B$24,4,IF(AF16/Настройки!$C$11&gt;=Настройки!$B$25,3,2))),IF($B16="ТТМ",IF(AF16/Настройки!$C$11&gt;=Настройки!$B$29,5,IF(AF16/Настройки!$C$11&gt;=Настройки!$B$30,4,IF(AF16/Настройки!$C$11&gt;=Настройки!$B$31,3,2))),"")),IF($B16&lt;&gt;"ТТП",5,IF(AG16="Да",5,4)),IFERROR(VLOOKUP(AH16,Настройки!$A$35:$B$37,2,FALSE()),5),IFERROR(VLOOKUP(AI16,Настройки!$A$41:$B$44,2,FALSE()),5)))</f>
        <v/>
      </c>
      <c r="AK16" s="36" t="str">
        <f aca="false">IF(AJ16="","",MIN(Настройки!$B$11,Настройки!$B$11*VLOOKUP(AJ16,Настройки!$A$16:$B$19,2,FALSE())+IF(AND($B16="ТТМ",AG16="Да"),Настройки!$B$11*Настройки!$A$53,0)))</f>
        <v/>
      </c>
      <c r="AL16" s="34"/>
      <c r="AM16" s="34"/>
      <c r="AN16" s="34"/>
      <c r="AO16" s="35" t="str">
        <f aca="false">IF(OR($A16="",AL16=""),"",MIN(IF($B16="ТТП",IF(AL16/Настройки!$C$57&gt;=Настройки!$B$23,5,IF(AL16/Настройки!$C$57&gt;=Настройки!$B$24,4,IF(AL16/Настройки!$C$57&gt;=Настройки!$B$25,3,2))),IF($B16="ТТМ",IF(AL16/Настройки!$C$57&gt;=Настройки!$B$29,5,IF(AL16/Настройки!$C$57&gt;=Настройки!$B$30,4,IF(AL16/Настройки!$C$57&gt;=Настройки!$B$31,3,2))),"")),IF($B16&lt;&gt;"ТТП",5,IF(AM16="Да",5,4)),IFERROR(VLOOKUP(AN16,Настройки!$A$35:$B$37,2,FALSE()),5)))</f>
        <v/>
      </c>
      <c r="AP16" s="36" t="str">
        <f aca="false">IF(AO16="","",MIN(Настройки!$B$57,Настройки!$B$57*VLOOKUP(AO16,Настройки!$A$16:$B$19,2,FALSE())+IF(AND($B16="ТТМ",AM16="Да"),Настройки!$B$57*Настройки!$A$53,0)))</f>
        <v/>
      </c>
      <c r="AQ16" s="36" t="str">
        <f aca="false">IF($A16="","",SUM(G16,M16,S16,Y16,AE16,AK16)+IF(AP16="",0,AP16))</f>
        <v/>
      </c>
      <c r="AR16" s="37" t="str">
        <f aca="false">IF(AQ16="","",VLOOKUP(AQ16,Настройки!$A$48:$B$51,2,TRUE()))</f>
        <v/>
      </c>
    </row>
    <row r="17" customFormat="false" ht="15" hidden="false" customHeight="true" outlineLevel="0" collapsed="false">
      <c r="A17" s="10"/>
      <c r="B17" s="34"/>
      <c r="C17" s="34"/>
      <c r="D17" s="34"/>
      <c r="E17" s="34"/>
      <c r="F17" s="35" t="str">
        <f aca="false">IF(OR($A17="",C17=""),"",MIN(IF($B17="ТТП",IF(C17/Настройки!$C$6&gt;=Настройки!$B$23,5,IF(C17/Настройки!$C$6&gt;=Настройки!$B$24,4,IF(C17/Настройки!$C$6&gt;=Настройки!$B$25,3,2))),IF($B17="ТТМ",IF(C17/Настройки!$C$6&gt;=Настройки!$B$29,5,IF(C17/Настройки!$C$6&gt;=Настройки!$B$30,4,IF(C17/Настройки!$C$6&gt;=Настройки!$B$31,3,2))),"")),IFERROR(VLOOKUP(D17,Настройки!$A$35:$B$37,2,FALSE()),5),IFERROR(VLOOKUP(E17,Настройки!$A$41:$B$44,2,FALSE()),5)))</f>
        <v/>
      </c>
      <c r="G17" s="36" t="str">
        <f aca="false">IF(F17="","",Настройки!$B$6*VLOOKUP(F17,Настройки!$A$16:$B$19,2,FALSE()))</f>
        <v/>
      </c>
      <c r="H17" s="34"/>
      <c r="I17" s="34"/>
      <c r="J17" s="34"/>
      <c r="K17" s="34"/>
      <c r="L17" s="35" t="str">
        <f aca="false">IF(OR($A17="",H17=""),"",MIN(IF($B17="ТТП",IF(H17/Настройки!$C$7&gt;=Настройки!$B$23,5,IF(H17/Настройки!$C$7&gt;=Настройки!$B$24,4,IF(H17/Настройки!$C$7&gt;=Настройки!$B$25,3,2))),IF($B17="ТТМ",IF(H17/Настройки!$C$7&gt;=Настройки!$B$29,5,IF(H17/Настройки!$C$7&gt;=Настройки!$B$30,4,IF(H17/Настройки!$C$7&gt;=Настройки!$B$31,3,2))),"")),IF($B17&lt;&gt;"ТТП",5,IF(I17="Да",5,4)),IFERROR(VLOOKUP(J17,Настройки!$A$35:$B$37,2,FALSE()),5),IFERROR(VLOOKUP(K17,Настройки!$A$41:$B$44,2,FALSE()),5)))</f>
        <v/>
      </c>
      <c r="M17" s="36" t="str">
        <f aca="false">IF(L17="","",MIN(Настройки!$B$7,Настройки!$B$7*VLOOKUP(L17,Настройки!$A$16:$B$19,2,FALSE())+IF(AND($B17="ТТМ",I17="Да"),Настройки!$B$7*Настройки!$A$53,0)))</f>
        <v/>
      </c>
      <c r="N17" s="34"/>
      <c r="O17" s="34"/>
      <c r="P17" s="34"/>
      <c r="Q17" s="34"/>
      <c r="R17" s="35" t="str">
        <f aca="false">IF(OR($A17="",N17=""),"",MIN(IF($B17="ТТП",IF(N17/Настройки!$C$8&gt;=Настройки!$B$23,5,IF(N17/Настройки!$C$8&gt;=Настройки!$B$24,4,IF(N17/Настройки!$C$8&gt;=Настройки!$B$25,3,2))),IF($B17="ТТМ",IF(N17/Настройки!$C$8&gt;=Настройки!$B$29,5,IF(N17/Настройки!$C$8&gt;=Настройки!$B$30,4,IF(N17/Настройки!$C$8&gt;=Настройки!$B$31,3,2))),"")),IF($B17&lt;&gt;"ТТП",5,IF(O17="Да",5,4)),IFERROR(VLOOKUP(P17,Настройки!$A$35:$B$37,2,FALSE()),5),IFERROR(VLOOKUP(Q17,Настройки!$A$41:$B$44,2,FALSE()),5)))</f>
        <v/>
      </c>
      <c r="S17" s="36" t="str">
        <f aca="false">IF(R17="","",MIN(Настройки!$B$8,Настройки!$B$8*VLOOKUP(R17,Настройки!$A$16:$B$19,2,FALSE())+IF(AND($B17="ТТМ",O17="Да"),Настройки!$B$8*Настройки!$A$53,0)))</f>
        <v/>
      </c>
      <c r="T17" s="34"/>
      <c r="U17" s="34"/>
      <c r="V17" s="34"/>
      <c r="W17" s="34"/>
      <c r="X17" s="35" t="str">
        <f aca="false">IF(OR($A17="",T17=""),"",MIN(IF($B17="ТТП",IF(T17/Настройки!$C$9&gt;=Настройки!$B$23,5,IF(T17/Настройки!$C$9&gt;=Настройки!$B$24,4,IF(T17/Настройки!$C$9&gt;=Настройки!$B$25,3,2))),IF($B17="ТТМ",IF(T17/Настройки!$C$9&gt;=Настройки!$B$29,5,IF(T17/Настройки!$C$9&gt;=Настройки!$B$30,4,IF(T17/Настройки!$C$9&gt;=Настройки!$B$31,3,2))),"")),IF($B17&lt;&gt;"ТТП",5,IF(U17="Да",5,4)),IFERROR(VLOOKUP(V17,Настройки!$A$35:$B$37,2,FALSE()),5),IFERROR(VLOOKUP(W17,Настройки!$A$41:$B$44,2,FALSE()),5)))</f>
        <v/>
      </c>
      <c r="Y17" s="36" t="str">
        <f aca="false">IF(X17="","",MIN(Настройки!$B$9,Настройки!$B$9*VLOOKUP(X17,Настройки!$A$16:$B$19,2,FALSE())+IF(AND($B17="ТТМ",U17="Да"),Настройки!$B$9*Настройки!$A$53,0)))</f>
        <v/>
      </c>
      <c r="Z17" s="34"/>
      <c r="AA17" s="34"/>
      <c r="AB17" s="34"/>
      <c r="AC17" s="34"/>
      <c r="AD17" s="35" t="str">
        <f aca="false">IF(OR($A17="",Z17=""),"",MIN(IF($B17="ТТП",IF(Z17/Настройки!$C$10&gt;=Настройки!$B$23,5,IF(Z17/Настройки!$C$10&gt;=Настройки!$B$24,4,IF(Z17/Настройки!$C$10&gt;=Настройки!$B$25,3,2))),IF($B17="ТТМ",IF(Z17/Настройки!$C$10&gt;=Настройки!$B$29,5,IF(Z17/Настройки!$C$10&gt;=Настройки!$B$30,4,IF(Z17/Настройки!$C$10&gt;=Настройки!$B$31,3,2))),"")),IF($B17&lt;&gt;"ТТП",5,IF(AA17="Да",5,4)),IFERROR(VLOOKUP(AB17,Настройки!$A$35:$B$37,2,FALSE()),5),IFERROR(VLOOKUP(AC17,Настройки!$A$41:$B$44,2,FALSE()),5)))</f>
        <v/>
      </c>
      <c r="AE17" s="36" t="str">
        <f aca="false">IF(AD17="","",MIN(Настройки!$B$10,Настройки!$B$10*VLOOKUP(AD17,Настройки!$A$16:$B$19,2,FALSE())+IF(AND($B17="ТТМ",AA17="Да"),Настройки!$B$10*Настройки!$A$53,0)))</f>
        <v/>
      </c>
      <c r="AF17" s="34"/>
      <c r="AG17" s="34"/>
      <c r="AH17" s="34"/>
      <c r="AI17" s="34"/>
      <c r="AJ17" s="35" t="str">
        <f aca="false">IF(OR($A17="",AF17=""),"",MIN(IF($B17="ТТП",IF(AF17/Настройки!$C$11&gt;=Настройки!$B$23,5,IF(AF17/Настройки!$C$11&gt;=Настройки!$B$24,4,IF(AF17/Настройки!$C$11&gt;=Настройки!$B$25,3,2))),IF($B17="ТТМ",IF(AF17/Настройки!$C$11&gt;=Настройки!$B$29,5,IF(AF17/Настройки!$C$11&gt;=Настройки!$B$30,4,IF(AF17/Настройки!$C$11&gt;=Настройки!$B$31,3,2))),"")),IF($B17&lt;&gt;"ТТП",5,IF(AG17="Да",5,4)),IFERROR(VLOOKUP(AH17,Настройки!$A$35:$B$37,2,FALSE()),5),IFERROR(VLOOKUP(AI17,Настройки!$A$41:$B$44,2,FALSE()),5)))</f>
        <v/>
      </c>
      <c r="AK17" s="36" t="str">
        <f aca="false">IF(AJ17="","",MIN(Настройки!$B$11,Настройки!$B$11*VLOOKUP(AJ17,Настройки!$A$16:$B$19,2,FALSE())+IF(AND($B17="ТТМ",AG17="Да"),Настройки!$B$11*Настройки!$A$53,0)))</f>
        <v/>
      </c>
      <c r="AL17" s="34"/>
      <c r="AM17" s="34"/>
      <c r="AN17" s="34"/>
      <c r="AO17" s="35" t="str">
        <f aca="false">IF(OR($A17="",AL17=""),"",MIN(IF($B17="ТТП",IF(AL17/Настройки!$C$57&gt;=Настройки!$B$23,5,IF(AL17/Настройки!$C$57&gt;=Настройки!$B$24,4,IF(AL17/Настройки!$C$57&gt;=Настройки!$B$25,3,2))),IF($B17="ТТМ",IF(AL17/Настройки!$C$57&gt;=Настройки!$B$29,5,IF(AL17/Настройки!$C$57&gt;=Настройки!$B$30,4,IF(AL17/Настройки!$C$57&gt;=Настройки!$B$31,3,2))),"")),IF($B17&lt;&gt;"ТТП",5,IF(AM17="Да",5,4)),IFERROR(VLOOKUP(AN17,Настройки!$A$35:$B$37,2,FALSE()),5)))</f>
        <v/>
      </c>
      <c r="AP17" s="36" t="str">
        <f aca="false">IF(AO17="","",MIN(Настройки!$B$57,Настройки!$B$57*VLOOKUP(AO17,Настройки!$A$16:$B$19,2,FALSE())+IF(AND($B17="ТТМ",AM17="Да"),Настройки!$B$57*Настройки!$A$53,0)))</f>
        <v/>
      </c>
      <c r="AQ17" s="36" t="str">
        <f aca="false">IF($A17="","",SUM(G17,M17,S17,Y17,AE17,AK17)+IF(AP17="",0,AP17))</f>
        <v/>
      </c>
      <c r="AR17" s="37" t="str">
        <f aca="false">IF(AQ17="","",VLOOKUP(AQ17,Настройки!$A$48:$B$51,2,TRUE()))</f>
        <v/>
      </c>
    </row>
    <row r="18" customFormat="false" ht="15" hidden="false" customHeight="true" outlineLevel="0" collapsed="false">
      <c r="A18" s="10"/>
      <c r="B18" s="34"/>
      <c r="C18" s="34"/>
      <c r="D18" s="34"/>
      <c r="E18" s="34"/>
      <c r="F18" s="35" t="str">
        <f aca="false">IF(OR($A18="",C18=""),"",MIN(IF($B18="ТТП",IF(C18/Настройки!$C$6&gt;=Настройки!$B$23,5,IF(C18/Настройки!$C$6&gt;=Настройки!$B$24,4,IF(C18/Настройки!$C$6&gt;=Настройки!$B$25,3,2))),IF($B18="ТТМ",IF(C18/Настройки!$C$6&gt;=Настройки!$B$29,5,IF(C18/Настройки!$C$6&gt;=Настройки!$B$30,4,IF(C18/Настройки!$C$6&gt;=Настройки!$B$31,3,2))),"")),IFERROR(VLOOKUP(D18,Настройки!$A$35:$B$37,2,FALSE()),5),IFERROR(VLOOKUP(E18,Настройки!$A$41:$B$44,2,FALSE()),5)))</f>
        <v/>
      </c>
      <c r="G18" s="36" t="str">
        <f aca="false">IF(F18="","",Настройки!$B$6*VLOOKUP(F18,Настройки!$A$16:$B$19,2,FALSE()))</f>
        <v/>
      </c>
      <c r="H18" s="34"/>
      <c r="I18" s="34"/>
      <c r="J18" s="34"/>
      <c r="K18" s="34"/>
      <c r="L18" s="35" t="str">
        <f aca="false">IF(OR($A18="",H18=""),"",MIN(IF($B18="ТТП",IF(H18/Настройки!$C$7&gt;=Настройки!$B$23,5,IF(H18/Настройки!$C$7&gt;=Настройки!$B$24,4,IF(H18/Настройки!$C$7&gt;=Настройки!$B$25,3,2))),IF($B18="ТТМ",IF(H18/Настройки!$C$7&gt;=Настройки!$B$29,5,IF(H18/Настройки!$C$7&gt;=Настройки!$B$30,4,IF(H18/Настройки!$C$7&gt;=Настройки!$B$31,3,2))),"")),IF($B18&lt;&gt;"ТТП",5,IF(I18="Да",5,4)),IFERROR(VLOOKUP(J18,Настройки!$A$35:$B$37,2,FALSE()),5),IFERROR(VLOOKUP(K18,Настройки!$A$41:$B$44,2,FALSE()),5)))</f>
        <v/>
      </c>
      <c r="M18" s="36" t="str">
        <f aca="false">IF(L18="","",MIN(Настройки!$B$7,Настройки!$B$7*VLOOKUP(L18,Настройки!$A$16:$B$19,2,FALSE())+IF(AND($B18="ТТМ",I18="Да"),Настройки!$B$7*Настройки!$A$53,0)))</f>
        <v/>
      </c>
      <c r="N18" s="34"/>
      <c r="O18" s="34"/>
      <c r="P18" s="34"/>
      <c r="Q18" s="34"/>
      <c r="R18" s="35" t="str">
        <f aca="false">IF(OR($A18="",N18=""),"",MIN(IF($B18="ТТП",IF(N18/Настройки!$C$8&gt;=Настройки!$B$23,5,IF(N18/Настройки!$C$8&gt;=Настройки!$B$24,4,IF(N18/Настройки!$C$8&gt;=Настройки!$B$25,3,2))),IF($B18="ТТМ",IF(N18/Настройки!$C$8&gt;=Настройки!$B$29,5,IF(N18/Настройки!$C$8&gt;=Настройки!$B$30,4,IF(N18/Настройки!$C$8&gt;=Настройки!$B$31,3,2))),"")),IF($B18&lt;&gt;"ТТП",5,IF(O18="Да",5,4)),IFERROR(VLOOKUP(P18,Настройки!$A$35:$B$37,2,FALSE()),5),IFERROR(VLOOKUP(Q18,Настройки!$A$41:$B$44,2,FALSE()),5)))</f>
        <v/>
      </c>
      <c r="S18" s="36" t="str">
        <f aca="false">IF(R18="","",MIN(Настройки!$B$8,Настройки!$B$8*VLOOKUP(R18,Настройки!$A$16:$B$19,2,FALSE())+IF(AND($B18="ТТМ",O18="Да"),Настройки!$B$8*Настройки!$A$53,0)))</f>
        <v/>
      </c>
      <c r="T18" s="34"/>
      <c r="U18" s="34"/>
      <c r="V18" s="34"/>
      <c r="W18" s="34"/>
      <c r="X18" s="35" t="str">
        <f aca="false">IF(OR($A18="",T18=""),"",MIN(IF($B18="ТТП",IF(T18/Настройки!$C$9&gt;=Настройки!$B$23,5,IF(T18/Настройки!$C$9&gt;=Настройки!$B$24,4,IF(T18/Настройки!$C$9&gt;=Настройки!$B$25,3,2))),IF($B18="ТТМ",IF(T18/Настройки!$C$9&gt;=Настройки!$B$29,5,IF(T18/Настройки!$C$9&gt;=Настройки!$B$30,4,IF(T18/Настройки!$C$9&gt;=Настройки!$B$31,3,2))),"")),IF($B18&lt;&gt;"ТТП",5,IF(U18="Да",5,4)),IFERROR(VLOOKUP(V18,Настройки!$A$35:$B$37,2,FALSE()),5),IFERROR(VLOOKUP(W18,Настройки!$A$41:$B$44,2,FALSE()),5)))</f>
        <v/>
      </c>
      <c r="Y18" s="36" t="str">
        <f aca="false">IF(X18="","",MIN(Настройки!$B$9,Настройки!$B$9*VLOOKUP(X18,Настройки!$A$16:$B$19,2,FALSE())+IF(AND($B18="ТТМ",U18="Да"),Настройки!$B$9*Настройки!$A$53,0)))</f>
        <v/>
      </c>
      <c r="Z18" s="34"/>
      <c r="AA18" s="34"/>
      <c r="AB18" s="34"/>
      <c r="AC18" s="34"/>
      <c r="AD18" s="35" t="str">
        <f aca="false">IF(OR($A18="",Z18=""),"",MIN(IF($B18="ТТП",IF(Z18/Настройки!$C$10&gt;=Настройки!$B$23,5,IF(Z18/Настройки!$C$10&gt;=Настройки!$B$24,4,IF(Z18/Настройки!$C$10&gt;=Настройки!$B$25,3,2))),IF($B18="ТТМ",IF(Z18/Настройки!$C$10&gt;=Настройки!$B$29,5,IF(Z18/Настройки!$C$10&gt;=Настройки!$B$30,4,IF(Z18/Настройки!$C$10&gt;=Настройки!$B$31,3,2))),"")),IF($B18&lt;&gt;"ТТП",5,IF(AA18="Да",5,4)),IFERROR(VLOOKUP(AB18,Настройки!$A$35:$B$37,2,FALSE()),5),IFERROR(VLOOKUP(AC18,Настройки!$A$41:$B$44,2,FALSE()),5)))</f>
        <v/>
      </c>
      <c r="AE18" s="36" t="str">
        <f aca="false">IF(AD18="","",MIN(Настройки!$B$10,Настройки!$B$10*VLOOKUP(AD18,Настройки!$A$16:$B$19,2,FALSE())+IF(AND($B18="ТТМ",AA18="Да"),Настройки!$B$10*Настройки!$A$53,0)))</f>
        <v/>
      </c>
      <c r="AF18" s="34"/>
      <c r="AG18" s="34"/>
      <c r="AH18" s="34"/>
      <c r="AI18" s="34"/>
      <c r="AJ18" s="35" t="str">
        <f aca="false">IF(OR($A18="",AF18=""),"",MIN(IF($B18="ТТП",IF(AF18/Настройки!$C$11&gt;=Настройки!$B$23,5,IF(AF18/Настройки!$C$11&gt;=Настройки!$B$24,4,IF(AF18/Настройки!$C$11&gt;=Настройки!$B$25,3,2))),IF($B18="ТТМ",IF(AF18/Настройки!$C$11&gt;=Настройки!$B$29,5,IF(AF18/Настройки!$C$11&gt;=Настройки!$B$30,4,IF(AF18/Настройки!$C$11&gt;=Настройки!$B$31,3,2))),"")),IF($B18&lt;&gt;"ТТП",5,IF(AG18="Да",5,4)),IFERROR(VLOOKUP(AH18,Настройки!$A$35:$B$37,2,FALSE()),5),IFERROR(VLOOKUP(AI18,Настройки!$A$41:$B$44,2,FALSE()),5)))</f>
        <v/>
      </c>
      <c r="AK18" s="36" t="str">
        <f aca="false">IF(AJ18="","",MIN(Настройки!$B$11,Настройки!$B$11*VLOOKUP(AJ18,Настройки!$A$16:$B$19,2,FALSE())+IF(AND($B18="ТТМ",AG18="Да"),Настройки!$B$11*Настройки!$A$53,0)))</f>
        <v/>
      </c>
      <c r="AL18" s="34"/>
      <c r="AM18" s="34"/>
      <c r="AN18" s="34"/>
      <c r="AO18" s="35" t="str">
        <f aca="false">IF(OR($A18="",AL18=""),"",MIN(IF($B18="ТТП",IF(AL18/Настройки!$C$57&gt;=Настройки!$B$23,5,IF(AL18/Настройки!$C$57&gt;=Настройки!$B$24,4,IF(AL18/Настройки!$C$57&gt;=Настройки!$B$25,3,2))),IF($B18="ТТМ",IF(AL18/Настройки!$C$57&gt;=Настройки!$B$29,5,IF(AL18/Настройки!$C$57&gt;=Настройки!$B$30,4,IF(AL18/Настройки!$C$57&gt;=Настройки!$B$31,3,2))),"")),IF($B18&lt;&gt;"ТТП",5,IF(AM18="Да",5,4)),IFERROR(VLOOKUP(AN18,Настройки!$A$35:$B$37,2,FALSE()),5)))</f>
        <v/>
      </c>
      <c r="AP18" s="36" t="str">
        <f aca="false">IF(AO18="","",MIN(Настройки!$B$57,Настройки!$B$57*VLOOKUP(AO18,Настройки!$A$16:$B$19,2,FALSE())+IF(AND($B18="ТТМ",AM18="Да"),Настройки!$B$57*Настройки!$A$53,0)))</f>
        <v/>
      </c>
      <c r="AQ18" s="36" t="str">
        <f aca="false">IF($A18="","",SUM(G18,M18,S18,Y18,AE18,AK18)+IF(AP18="",0,AP18))</f>
        <v/>
      </c>
      <c r="AR18" s="37" t="str">
        <f aca="false">IF(AQ18="","",VLOOKUP(AQ18,Настройки!$A$48:$B$51,2,TRUE()))</f>
        <v/>
      </c>
    </row>
    <row r="19" customFormat="false" ht="15" hidden="false" customHeight="true" outlineLevel="0" collapsed="false">
      <c r="A19" s="10"/>
      <c r="B19" s="34"/>
      <c r="C19" s="34"/>
      <c r="D19" s="34"/>
      <c r="E19" s="34"/>
      <c r="F19" s="35" t="str">
        <f aca="false">IF(OR($A19="",C19=""),"",MIN(IF($B19="ТТП",IF(C19/Настройки!$C$6&gt;=Настройки!$B$23,5,IF(C19/Настройки!$C$6&gt;=Настройки!$B$24,4,IF(C19/Настройки!$C$6&gt;=Настройки!$B$25,3,2))),IF($B19="ТТМ",IF(C19/Настройки!$C$6&gt;=Настройки!$B$29,5,IF(C19/Настройки!$C$6&gt;=Настройки!$B$30,4,IF(C19/Настройки!$C$6&gt;=Настройки!$B$31,3,2))),"")),IFERROR(VLOOKUP(D19,Настройки!$A$35:$B$37,2,FALSE()),5),IFERROR(VLOOKUP(E19,Настройки!$A$41:$B$44,2,FALSE()),5)))</f>
        <v/>
      </c>
      <c r="G19" s="36" t="str">
        <f aca="false">IF(F19="","",Настройки!$B$6*VLOOKUP(F19,Настройки!$A$16:$B$19,2,FALSE()))</f>
        <v/>
      </c>
      <c r="H19" s="34"/>
      <c r="I19" s="34"/>
      <c r="J19" s="34"/>
      <c r="K19" s="34"/>
      <c r="L19" s="35" t="str">
        <f aca="false">IF(OR($A19="",H19=""),"",MIN(IF($B19="ТТП",IF(H19/Настройки!$C$7&gt;=Настройки!$B$23,5,IF(H19/Настройки!$C$7&gt;=Настройки!$B$24,4,IF(H19/Настройки!$C$7&gt;=Настройки!$B$25,3,2))),IF($B19="ТТМ",IF(H19/Настройки!$C$7&gt;=Настройки!$B$29,5,IF(H19/Настройки!$C$7&gt;=Настройки!$B$30,4,IF(H19/Настройки!$C$7&gt;=Настройки!$B$31,3,2))),"")),IF($B19&lt;&gt;"ТТП",5,IF(I19="Да",5,4)),IFERROR(VLOOKUP(J19,Настройки!$A$35:$B$37,2,FALSE()),5),IFERROR(VLOOKUP(K19,Настройки!$A$41:$B$44,2,FALSE()),5)))</f>
        <v/>
      </c>
      <c r="M19" s="36" t="str">
        <f aca="false">IF(L19="","",MIN(Настройки!$B$7,Настройки!$B$7*VLOOKUP(L19,Настройки!$A$16:$B$19,2,FALSE())+IF(AND($B19="ТТМ",I19="Да"),Настройки!$B$7*Настройки!$A$53,0)))</f>
        <v/>
      </c>
      <c r="N19" s="34"/>
      <c r="O19" s="34"/>
      <c r="P19" s="34"/>
      <c r="Q19" s="34"/>
      <c r="R19" s="35" t="str">
        <f aca="false">IF(OR($A19="",N19=""),"",MIN(IF($B19="ТТП",IF(N19/Настройки!$C$8&gt;=Настройки!$B$23,5,IF(N19/Настройки!$C$8&gt;=Настройки!$B$24,4,IF(N19/Настройки!$C$8&gt;=Настройки!$B$25,3,2))),IF($B19="ТТМ",IF(N19/Настройки!$C$8&gt;=Настройки!$B$29,5,IF(N19/Настройки!$C$8&gt;=Настройки!$B$30,4,IF(N19/Настройки!$C$8&gt;=Настройки!$B$31,3,2))),"")),IF($B19&lt;&gt;"ТТП",5,IF(O19="Да",5,4)),IFERROR(VLOOKUP(P19,Настройки!$A$35:$B$37,2,FALSE()),5),IFERROR(VLOOKUP(Q19,Настройки!$A$41:$B$44,2,FALSE()),5)))</f>
        <v/>
      </c>
      <c r="S19" s="36" t="str">
        <f aca="false">IF(R19="","",MIN(Настройки!$B$8,Настройки!$B$8*VLOOKUP(R19,Настройки!$A$16:$B$19,2,FALSE())+IF(AND($B19="ТТМ",O19="Да"),Настройки!$B$8*Настройки!$A$53,0)))</f>
        <v/>
      </c>
      <c r="T19" s="34"/>
      <c r="U19" s="34"/>
      <c r="V19" s="34"/>
      <c r="W19" s="34"/>
      <c r="X19" s="35" t="str">
        <f aca="false">IF(OR($A19="",T19=""),"",MIN(IF($B19="ТТП",IF(T19/Настройки!$C$9&gt;=Настройки!$B$23,5,IF(T19/Настройки!$C$9&gt;=Настройки!$B$24,4,IF(T19/Настройки!$C$9&gt;=Настройки!$B$25,3,2))),IF($B19="ТТМ",IF(T19/Настройки!$C$9&gt;=Настройки!$B$29,5,IF(T19/Настройки!$C$9&gt;=Настройки!$B$30,4,IF(T19/Настройки!$C$9&gt;=Настройки!$B$31,3,2))),"")),IF($B19&lt;&gt;"ТТП",5,IF(U19="Да",5,4)),IFERROR(VLOOKUP(V19,Настройки!$A$35:$B$37,2,FALSE()),5),IFERROR(VLOOKUP(W19,Настройки!$A$41:$B$44,2,FALSE()),5)))</f>
        <v/>
      </c>
      <c r="Y19" s="36" t="str">
        <f aca="false">IF(X19="","",MIN(Настройки!$B$9,Настройки!$B$9*VLOOKUP(X19,Настройки!$A$16:$B$19,2,FALSE())+IF(AND($B19="ТТМ",U19="Да"),Настройки!$B$9*Настройки!$A$53,0)))</f>
        <v/>
      </c>
      <c r="Z19" s="34"/>
      <c r="AA19" s="34"/>
      <c r="AB19" s="34"/>
      <c r="AC19" s="34"/>
      <c r="AD19" s="35" t="str">
        <f aca="false">IF(OR($A19="",Z19=""),"",MIN(IF($B19="ТТП",IF(Z19/Настройки!$C$10&gt;=Настройки!$B$23,5,IF(Z19/Настройки!$C$10&gt;=Настройки!$B$24,4,IF(Z19/Настройки!$C$10&gt;=Настройки!$B$25,3,2))),IF($B19="ТТМ",IF(Z19/Настройки!$C$10&gt;=Настройки!$B$29,5,IF(Z19/Настройки!$C$10&gt;=Настройки!$B$30,4,IF(Z19/Настройки!$C$10&gt;=Настройки!$B$31,3,2))),"")),IF($B19&lt;&gt;"ТТП",5,IF(AA19="Да",5,4)),IFERROR(VLOOKUP(AB19,Настройки!$A$35:$B$37,2,FALSE()),5),IFERROR(VLOOKUP(AC19,Настройки!$A$41:$B$44,2,FALSE()),5)))</f>
        <v/>
      </c>
      <c r="AE19" s="36" t="str">
        <f aca="false">IF(AD19="","",MIN(Настройки!$B$10,Настройки!$B$10*VLOOKUP(AD19,Настройки!$A$16:$B$19,2,FALSE())+IF(AND($B19="ТТМ",AA19="Да"),Настройки!$B$10*Настройки!$A$53,0)))</f>
        <v/>
      </c>
      <c r="AF19" s="34"/>
      <c r="AG19" s="34"/>
      <c r="AH19" s="34"/>
      <c r="AI19" s="34"/>
      <c r="AJ19" s="35" t="str">
        <f aca="false">IF(OR($A19="",AF19=""),"",MIN(IF($B19="ТТП",IF(AF19/Настройки!$C$11&gt;=Настройки!$B$23,5,IF(AF19/Настройки!$C$11&gt;=Настройки!$B$24,4,IF(AF19/Настройки!$C$11&gt;=Настройки!$B$25,3,2))),IF($B19="ТТМ",IF(AF19/Настройки!$C$11&gt;=Настройки!$B$29,5,IF(AF19/Настройки!$C$11&gt;=Настройки!$B$30,4,IF(AF19/Настройки!$C$11&gt;=Настройки!$B$31,3,2))),"")),IF($B19&lt;&gt;"ТТП",5,IF(AG19="Да",5,4)),IFERROR(VLOOKUP(AH19,Настройки!$A$35:$B$37,2,FALSE()),5),IFERROR(VLOOKUP(AI19,Настройки!$A$41:$B$44,2,FALSE()),5)))</f>
        <v/>
      </c>
      <c r="AK19" s="36" t="str">
        <f aca="false">IF(AJ19="","",MIN(Настройки!$B$11,Настройки!$B$11*VLOOKUP(AJ19,Настройки!$A$16:$B$19,2,FALSE())+IF(AND($B19="ТТМ",AG19="Да"),Настройки!$B$11*Настройки!$A$53,0)))</f>
        <v/>
      </c>
      <c r="AL19" s="34"/>
      <c r="AM19" s="34"/>
      <c r="AN19" s="34"/>
      <c r="AO19" s="35" t="str">
        <f aca="false">IF(OR($A19="",AL19=""),"",MIN(IF($B19="ТТП",IF(AL19/Настройки!$C$57&gt;=Настройки!$B$23,5,IF(AL19/Настройки!$C$57&gt;=Настройки!$B$24,4,IF(AL19/Настройки!$C$57&gt;=Настройки!$B$25,3,2))),IF($B19="ТТМ",IF(AL19/Настройки!$C$57&gt;=Настройки!$B$29,5,IF(AL19/Настройки!$C$57&gt;=Настройки!$B$30,4,IF(AL19/Настройки!$C$57&gt;=Настройки!$B$31,3,2))),"")),IF($B19&lt;&gt;"ТТП",5,IF(AM19="Да",5,4)),IFERROR(VLOOKUP(AN19,Настройки!$A$35:$B$37,2,FALSE()),5)))</f>
        <v/>
      </c>
      <c r="AP19" s="36" t="str">
        <f aca="false">IF(AO19="","",MIN(Настройки!$B$57,Настройки!$B$57*VLOOKUP(AO19,Настройки!$A$16:$B$19,2,FALSE())+IF(AND($B19="ТТМ",AM19="Да"),Настройки!$B$57*Настройки!$A$53,0)))</f>
        <v/>
      </c>
      <c r="AQ19" s="36" t="str">
        <f aca="false">IF($A19="","",SUM(G19,M19,S19,Y19,AE19,AK19)+IF(AP19="",0,AP19))</f>
        <v/>
      </c>
      <c r="AR19" s="37" t="str">
        <f aca="false">IF(AQ19="","",VLOOKUP(AQ19,Настройки!$A$48:$B$51,2,TRUE()))</f>
        <v/>
      </c>
    </row>
    <row r="20" customFormat="false" ht="15" hidden="false" customHeight="true" outlineLevel="0" collapsed="false">
      <c r="A20" s="10"/>
      <c r="B20" s="34"/>
      <c r="C20" s="34"/>
      <c r="D20" s="34"/>
      <c r="E20" s="34"/>
      <c r="F20" s="35" t="str">
        <f aca="false">IF(OR($A20="",C20=""),"",MIN(IF($B20="ТТП",IF(C20/Настройки!$C$6&gt;=Настройки!$B$23,5,IF(C20/Настройки!$C$6&gt;=Настройки!$B$24,4,IF(C20/Настройки!$C$6&gt;=Настройки!$B$25,3,2))),IF($B20="ТТМ",IF(C20/Настройки!$C$6&gt;=Настройки!$B$29,5,IF(C20/Настройки!$C$6&gt;=Настройки!$B$30,4,IF(C20/Настройки!$C$6&gt;=Настройки!$B$31,3,2))),"")),IFERROR(VLOOKUP(D20,Настройки!$A$35:$B$37,2,FALSE()),5),IFERROR(VLOOKUP(E20,Настройки!$A$41:$B$44,2,FALSE()),5)))</f>
        <v/>
      </c>
      <c r="G20" s="36" t="str">
        <f aca="false">IF(F20="","",Настройки!$B$6*VLOOKUP(F20,Настройки!$A$16:$B$19,2,FALSE()))</f>
        <v/>
      </c>
      <c r="H20" s="34"/>
      <c r="I20" s="34"/>
      <c r="J20" s="34"/>
      <c r="K20" s="34"/>
      <c r="L20" s="35" t="str">
        <f aca="false">IF(OR($A20="",H20=""),"",MIN(IF($B20="ТТП",IF(H20/Настройки!$C$7&gt;=Настройки!$B$23,5,IF(H20/Настройки!$C$7&gt;=Настройки!$B$24,4,IF(H20/Настройки!$C$7&gt;=Настройки!$B$25,3,2))),IF($B20="ТТМ",IF(H20/Настройки!$C$7&gt;=Настройки!$B$29,5,IF(H20/Настройки!$C$7&gt;=Настройки!$B$30,4,IF(H20/Настройки!$C$7&gt;=Настройки!$B$31,3,2))),"")),IF($B20&lt;&gt;"ТТП",5,IF(I20="Да",5,4)),IFERROR(VLOOKUP(J20,Настройки!$A$35:$B$37,2,FALSE()),5),IFERROR(VLOOKUP(K20,Настройки!$A$41:$B$44,2,FALSE()),5)))</f>
        <v/>
      </c>
      <c r="M20" s="36" t="str">
        <f aca="false">IF(L20="","",MIN(Настройки!$B$7,Настройки!$B$7*VLOOKUP(L20,Настройки!$A$16:$B$19,2,FALSE())+IF(AND($B20="ТТМ",I20="Да"),Настройки!$B$7*Настройки!$A$53,0)))</f>
        <v/>
      </c>
      <c r="N20" s="34"/>
      <c r="O20" s="34"/>
      <c r="P20" s="34"/>
      <c r="Q20" s="34"/>
      <c r="R20" s="35" t="str">
        <f aca="false">IF(OR($A20="",N20=""),"",MIN(IF($B20="ТТП",IF(N20/Настройки!$C$8&gt;=Настройки!$B$23,5,IF(N20/Настройки!$C$8&gt;=Настройки!$B$24,4,IF(N20/Настройки!$C$8&gt;=Настройки!$B$25,3,2))),IF($B20="ТТМ",IF(N20/Настройки!$C$8&gt;=Настройки!$B$29,5,IF(N20/Настройки!$C$8&gt;=Настройки!$B$30,4,IF(N20/Настройки!$C$8&gt;=Настройки!$B$31,3,2))),"")),IF($B20&lt;&gt;"ТТП",5,IF(O20="Да",5,4)),IFERROR(VLOOKUP(P20,Настройки!$A$35:$B$37,2,FALSE()),5),IFERROR(VLOOKUP(Q20,Настройки!$A$41:$B$44,2,FALSE()),5)))</f>
        <v/>
      </c>
      <c r="S20" s="36" t="str">
        <f aca="false">IF(R20="","",MIN(Настройки!$B$8,Настройки!$B$8*VLOOKUP(R20,Настройки!$A$16:$B$19,2,FALSE())+IF(AND($B20="ТТМ",O20="Да"),Настройки!$B$8*Настройки!$A$53,0)))</f>
        <v/>
      </c>
      <c r="T20" s="34"/>
      <c r="U20" s="34"/>
      <c r="V20" s="34"/>
      <c r="W20" s="34"/>
      <c r="X20" s="35" t="str">
        <f aca="false">IF(OR($A20="",T20=""),"",MIN(IF($B20="ТТП",IF(T20/Настройки!$C$9&gt;=Настройки!$B$23,5,IF(T20/Настройки!$C$9&gt;=Настройки!$B$24,4,IF(T20/Настройки!$C$9&gt;=Настройки!$B$25,3,2))),IF($B20="ТТМ",IF(T20/Настройки!$C$9&gt;=Настройки!$B$29,5,IF(T20/Настройки!$C$9&gt;=Настройки!$B$30,4,IF(T20/Настройки!$C$9&gt;=Настройки!$B$31,3,2))),"")),IF($B20&lt;&gt;"ТТП",5,IF(U20="Да",5,4)),IFERROR(VLOOKUP(V20,Настройки!$A$35:$B$37,2,FALSE()),5),IFERROR(VLOOKUP(W20,Настройки!$A$41:$B$44,2,FALSE()),5)))</f>
        <v/>
      </c>
      <c r="Y20" s="36" t="str">
        <f aca="false">IF(X20="","",MIN(Настройки!$B$9,Настройки!$B$9*VLOOKUP(X20,Настройки!$A$16:$B$19,2,FALSE())+IF(AND($B20="ТТМ",U20="Да"),Настройки!$B$9*Настройки!$A$53,0)))</f>
        <v/>
      </c>
      <c r="Z20" s="34"/>
      <c r="AA20" s="34"/>
      <c r="AB20" s="34"/>
      <c r="AC20" s="34"/>
      <c r="AD20" s="35" t="str">
        <f aca="false">IF(OR($A20="",Z20=""),"",MIN(IF($B20="ТТП",IF(Z20/Настройки!$C$10&gt;=Настройки!$B$23,5,IF(Z20/Настройки!$C$10&gt;=Настройки!$B$24,4,IF(Z20/Настройки!$C$10&gt;=Настройки!$B$25,3,2))),IF($B20="ТТМ",IF(Z20/Настройки!$C$10&gt;=Настройки!$B$29,5,IF(Z20/Настройки!$C$10&gt;=Настройки!$B$30,4,IF(Z20/Настройки!$C$10&gt;=Настройки!$B$31,3,2))),"")),IF($B20&lt;&gt;"ТТП",5,IF(AA20="Да",5,4)),IFERROR(VLOOKUP(AB20,Настройки!$A$35:$B$37,2,FALSE()),5),IFERROR(VLOOKUP(AC20,Настройки!$A$41:$B$44,2,FALSE()),5)))</f>
        <v/>
      </c>
      <c r="AE20" s="36" t="str">
        <f aca="false">IF(AD20="","",MIN(Настройки!$B$10,Настройки!$B$10*VLOOKUP(AD20,Настройки!$A$16:$B$19,2,FALSE())+IF(AND($B20="ТТМ",AA20="Да"),Настройки!$B$10*Настройки!$A$53,0)))</f>
        <v/>
      </c>
      <c r="AF20" s="34"/>
      <c r="AG20" s="34"/>
      <c r="AH20" s="34"/>
      <c r="AI20" s="34"/>
      <c r="AJ20" s="35" t="str">
        <f aca="false">IF(OR($A20="",AF20=""),"",MIN(IF($B20="ТТП",IF(AF20/Настройки!$C$11&gt;=Настройки!$B$23,5,IF(AF20/Настройки!$C$11&gt;=Настройки!$B$24,4,IF(AF20/Настройки!$C$11&gt;=Настройки!$B$25,3,2))),IF($B20="ТТМ",IF(AF20/Настройки!$C$11&gt;=Настройки!$B$29,5,IF(AF20/Настройки!$C$11&gt;=Настройки!$B$30,4,IF(AF20/Настройки!$C$11&gt;=Настройки!$B$31,3,2))),"")),IF($B20&lt;&gt;"ТТП",5,IF(AG20="Да",5,4)),IFERROR(VLOOKUP(AH20,Настройки!$A$35:$B$37,2,FALSE()),5),IFERROR(VLOOKUP(AI20,Настройки!$A$41:$B$44,2,FALSE()),5)))</f>
        <v/>
      </c>
      <c r="AK20" s="36" t="str">
        <f aca="false">IF(AJ20="","",MIN(Настройки!$B$11,Настройки!$B$11*VLOOKUP(AJ20,Настройки!$A$16:$B$19,2,FALSE())+IF(AND($B20="ТТМ",AG20="Да"),Настройки!$B$11*Настройки!$A$53,0)))</f>
        <v/>
      </c>
      <c r="AL20" s="34"/>
      <c r="AM20" s="34"/>
      <c r="AN20" s="34"/>
      <c r="AO20" s="35" t="str">
        <f aca="false">IF(OR($A20="",AL20=""),"",MIN(IF($B20="ТТП",IF(AL20/Настройки!$C$57&gt;=Настройки!$B$23,5,IF(AL20/Настройки!$C$57&gt;=Настройки!$B$24,4,IF(AL20/Настройки!$C$57&gt;=Настройки!$B$25,3,2))),IF($B20="ТТМ",IF(AL20/Настройки!$C$57&gt;=Настройки!$B$29,5,IF(AL20/Настройки!$C$57&gt;=Настройки!$B$30,4,IF(AL20/Настройки!$C$57&gt;=Настройки!$B$31,3,2))),"")),IF($B20&lt;&gt;"ТТП",5,IF(AM20="Да",5,4)),IFERROR(VLOOKUP(AN20,Настройки!$A$35:$B$37,2,FALSE()),5)))</f>
        <v/>
      </c>
      <c r="AP20" s="36" t="str">
        <f aca="false">IF(AO20="","",MIN(Настройки!$B$57,Настройки!$B$57*VLOOKUP(AO20,Настройки!$A$16:$B$19,2,FALSE())+IF(AND($B20="ТТМ",AM20="Да"),Настройки!$B$57*Настройки!$A$53,0)))</f>
        <v/>
      </c>
      <c r="AQ20" s="36" t="str">
        <f aca="false">IF($A20="","",SUM(G20,M20,S20,Y20,AE20,AK20)+IF(AP20="",0,AP20))</f>
        <v/>
      </c>
      <c r="AR20" s="37" t="str">
        <f aca="false">IF(AQ20="","",VLOOKUP(AQ20,Настройки!$A$48:$B$51,2,TRUE()))</f>
        <v/>
      </c>
    </row>
    <row r="21" customFormat="false" ht="15" hidden="false" customHeight="true" outlineLevel="0" collapsed="false">
      <c r="A21" s="10"/>
      <c r="B21" s="34"/>
      <c r="C21" s="34"/>
      <c r="D21" s="34"/>
      <c r="E21" s="34"/>
      <c r="F21" s="35" t="str">
        <f aca="false">IF(OR($A21="",C21=""),"",MIN(IF($B21="ТТП",IF(C21/Настройки!$C$6&gt;=Настройки!$B$23,5,IF(C21/Настройки!$C$6&gt;=Настройки!$B$24,4,IF(C21/Настройки!$C$6&gt;=Настройки!$B$25,3,2))),IF($B21="ТТМ",IF(C21/Настройки!$C$6&gt;=Настройки!$B$29,5,IF(C21/Настройки!$C$6&gt;=Настройки!$B$30,4,IF(C21/Настройки!$C$6&gt;=Настройки!$B$31,3,2))),"")),IFERROR(VLOOKUP(D21,Настройки!$A$35:$B$37,2,FALSE()),5),IFERROR(VLOOKUP(E21,Настройки!$A$41:$B$44,2,FALSE()),5)))</f>
        <v/>
      </c>
      <c r="G21" s="36" t="str">
        <f aca="false">IF(F21="","",Настройки!$B$6*VLOOKUP(F21,Настройки!$A$16:$B$19,2,FALSE()))</f>
        <v/>
      </c>
      <c r="H21" s="34"/>
      <c r="I21" s="34"/>
      <c r="J21" s="34"/>
      <c r="K21" s="34"/>
      <c r="L21" s="35" t="str">
        <f aca="false">IF(OR($A21="",H21=""),"",MIN(IF($B21="ТТП",IF(H21/Настройки!$C$7&gt;=Настройки!$B$23,5,IF(H21/Настройки!$C$7&gt;=Настройки!$B$24,4,IF(H21/Настройки!$C$7&gt;=Настройки!$B$25,3,2))),IF($B21="ТТМ",IF(H21/Настройки!$C$7&gt;=Настройки!$B$29,5,IF(H21/Настройки!$C$7&gt;=Настройки!$B$30,4,IF(H21/Настройки!$C$7&gt;=Настройки!$B$31,3,2))),"")),IF($B21&lt;&gt;"ТТП",5,IF(I21="Да",5,4)),IFERROR(VLOOKUP(J21,Настройки!$A$35:$B$37,2,FALSE()),5),IFERROR(VLOOKUP(K21,Настройки!$A$41:$B$44,2,FALSE()),5)))</f>
        <v/>
      </c>
      <c r="M21" s="36" t="str">
        <f aca="false">IF(L21="","",MIN(Настройки!$B$7,Настройки!$B$7*VLOOKUP(L21,Настройки!$A$16:$B$19,2,FALSE())+IF(AND($B21="ТТМ",I21="Да"),Настройки!$B$7*Настройки!$A$53,0)))</f>
        <v/>
      </c>
      <c r="N21" s="34"/>
      <c r="O21" s="34"/>
      <c r="P21" s="34"/>
      <c r="Q21" s="34"/>
      <c r="R21" s="35" t="str">
        <f aca="false">IF(OR($A21="",N21=""),"",MIN(IF($B21="ТТП",IF(N21/Настройки!$C$8&gt;=Настройки!$B$23,5,IF(N21/Настройки!$C$8&gt;=Настройки!$B$24,4,IF(N21/Настройки!$C$8&gt;=Настройки!$B$25,3,2))),IF($B21="ТТМ",IF(N21/Настройки!$C$8&gt;=Настройки!$B$29,5,IF(N21/Настройки!$C$8&gt;=Настройки!$B$30,4,IF(N21/Настройки!$C$8&gt;=Настройки!$B$31,3,2))),"")),IF($B21&lt;&gt;"ТТП",5,IF(O21="Да",5,4)),IFERROR(VLOOKUP(P21,Настройки!$A$35:$B$37,2,FALSE()),5),IFERROR(VLOOKUP(Q21,Настройки!$A$41:$B$44,2,FALSE()),5)))</f>
        <v/>
      </c>
      <c r="S21" s="36" t="str">
        <f aca="false">IF(R21="","",MIN(Настройки!$B$8,Настройки!$B$8*VLOOKUP(R21,Настройки!$A$16:$B$19,2,FALSE())+IF(AND($B21="ТТМ",O21="Да"),Настройки!$B$8*Настройки!$A$53,0)))</f>
        <v/>
      </c>
      <c r="T21" s="34"/>
      <c r="U21" s="34"/>
      <c r="V21" s="34"/>
      <c r="W21" s="34"/>
      <c r="X21" s="35" t="str">
        <f aca="false">IF(OR($A21="",T21=""),"",MIN(IF($B21="ТТП",IF(T21/Настройки!$C$9&gt;=Настройки!$B$23,5,IF(T21/Настройки!$C$9&gt;=Настройки!$B$24,4,IF(T21/Настройки!$C$9&gt;=Настройки!$B$25,3,2))),IF($B21="ТТМ",IF(T21/Настройки!$C$9&gt;=Настройки!$B$29,5,IF(T21/Настройки!$C$9&gt;=Настройки!$B$30,4,IF(T21/Настройки!$C$9&gt;=Настройки!$B$31,3,2))),"")),IF($B21&lt;&gt;"ТТП",5,IF(U21="Да",5,4)),IFERROR(VLOOKUP(V21,Настройки!$A$35:$B$37,2,FALSE()),5),IFERROR(VLOOKUP(W21,Настройки!$A$41:$B$44,2,FALSE()),5)))</f>
        <v/>
      </c>
      <c r="Y21" s="36" t="str">
        <f aca="false">IF(X21="","",MIN(Настройки!$B$9,Настройки!$B$9*VLOOKUP(X21,Настройки!$A$16:$B$19,2,FALSE())+IF(AND($B21="ТТМ",U21="Да"),Настройки!$B$9*Настройки!$A$53,0)))</f>
        <v/>
      </c>
      <c r="Z21" s="34"/>
      <c r="AA21" s="34"/>
      <c r="AB21" s="34"/>
      <c r="AC21" s="34"/>
      <c r="AD21" s="35" t="str">
        <f aca="false">IF(OR($A21="",Z21=""),"",MIN(IF($B21="ТТП",IF(Z21/Настройки!$C$10&gt;=Настройки!$B$23,5,IF(Z21/Настройки!$C$10&gt;=Настройки!$B$24,4,IF(Z21/Настройки!$C$10&gt;=Настройки!$B$25,3,2))),IF($B21="ТТМ",IF(Z21/Настройки!$C$10&gt;=Настройки!$B$29,5,IF(Z21/Настройки!$C$10&gt;=Настройки!$B$30,4,IF(Z21/Настройки!$C$10&gt;=Настройки!$B$31,3,2))),"")),IF($B21&lt;&gt;"ТТП",5,IF(AA21="Да",5,4)),IFERROR(VLOOKUP(AB21,Настройки!$A$35:$B$37,2,FALSE()),5),IFERROR(VLOOKUP(AC21,Настройки!$A$41:$B$44,2,FALSE()),5)))</f>
        <v/>
      </c>
      <c r="AE21" s="36" t="str">
        <f aca="false">IF(AD21="","",MIN(Настройки!$B$10,Настройки!$B$10*VLOOKUP(AD21,Настройки!$A$16:$B$19,2,FALSE())+IF(AND($B21="ТТМ",AA21="Да"),Настройки!$B$10*Настройки!$A$53,0)))</f>
        <v/>
      </c>
      <c r="AF21" s="34"/>
      <c r="AG21" s="34"/>
      <c r="AH21" s="34"/>
      <c r="AI21" s="34"/>
      <c r="AJ21" s="35" t="str">
        <f aca="false">IF(OR($A21="",AF21=""),"",MIN(IF($B21="ТТП",IF(AF21/Настройки!$C$11&gt;=Настройки!$B$23,5,IF(AF21/Настройки!$C$11&gt;=Настройки!$B$24,4,IF(AF21/Настройки!$C$11&gt;=Настройки!$B$25,3,2))),IF($B21="ТТМ",IF(AF21/Настройки!$C$11&gt;=Настройки!$B$29,5,IF(AF21/Настройки!$C$11&gt;=Настройки!$B$30,4,IF(AF21/Настройки!$C$11&gt;=Настройки!$B$31,3,2))),"")),IF($B21&lt;&gt;"ТТП",5,IF(AG21="Да",5,4)),IFERROR(VLOOKUP(AH21,Настройки!$A$35:$B$37,2,FALSE()),5),IFERROR(VLOOKUP(AI21,Настройки!$A$41:$B$44,2,FALSE()),5)))</f>
        <v/>
      </c>
      <c r="AK21" s="36" t="str">
        <f aca="false">IF(AJ21="","",MIN(Настройки!$B$11,Настройки!$B$11*VLOOKUP(AJ21,Настройки!$A$16:$B$19,2,FALSE())+IF(AND($B21="ТТМ",AG21="Да"),Настройки!$B$11*Настройки!$A$53,0)))</f>
        <v/>
      </c>
      <c r="AL21" s="34"/>
      <c r="AM21" s="34"/>
      <c r="AN21" s="34"/>
      <c r="AO21" s="35" t="str">
        <f aca="false">IF(OR($A21="",AL21=""),"",MIN(IF($B21="ТТП",IF(AL21/Настройки!$C$57&gt;=Настройки!$B$23,5,IF(AL21/Настройки!$C$57&gt;=Настройки!$B$24,4,IF(AL21/Настройки!$C$57&gt;=Настройки!$B$25,3,2))),IF($B21="ТТМ",IF(AL21/Настройки!$C$57&gt;=Настройки!$B$29,5,IF(AL21/Настройки!$C$57&gt;=Настройки!$B$30,4,IF(AL21/Настройки!$C$57&gt;=Настройки!$B$31,3,2))),"")),IF($B21&lt;&gt;"ТТП",5,IF(AM21="Да",5,4)),IFERROR(VLOOKUP(AN21,Настройки!$A$35:$B$37,2,FALSE()),5)))</f>
        <v/>
      </c>
      <c r="AP21" s="36" t="str">
        <f aca="false">IF(AO21="","",MIN(Настройки!$B$57,Настройки!$B$57*VLOOKUP(AO21,Настройки!$A$16:$B$19,2,FALSE())+IF(AND($B21="ТТМ",AM21="Да"),Настройки!$B$57*Настройки!$A$53,0)))</f>
        <v/>
      </c>
      <c r="AQ21" s="36" t="str">
        <f aca="false">IF($A21="","",SUM(G21,M21,S21,Y21,AE21,AK21)+IF(AP21="",0,AP21))</f>
        <v/>
      </c>
      <c r="AR21" s="37" t="str">
        <f aca="false">IF(AQ21="","",VLOOKUP(AQ21,Настройки!$A$48:$B$51,2,TRUE()))</f>
        <v/>
      </c>
    </row>
    <row r="22" customFormat="false" ht="15" hidden="false" customHeight="true" outlineLevel="0" collapsed="false">
      <c r="A22" s="10"/>
      <c r="B22" s="34"/>
      <c r="C22" s="34"/>
      <c r="D22" s="34"/>
      <c r="E22" s="34"/>
      <c r="F22" s="35" t="str">
        <f aca="false">IF(OR($A22="",C22=""),"",MIN(IF($B22="ТТП",IF(C22/Настройки!$C$6&gt;=Настройки!$B$23,5,IF(C22/Настройки!$C$6&gt;=Настройки!$B$24,4,IF(C22/Настройки!$C$6&gt;=Настройки!$B$25,3,2))),IF($B22="ТТМ",IF(C22/Настройки!$C$6&gt;=Настройки!$B$29,5,IF(C22/Настройки!$C$6&gt;=Настройки!$B$30,4,IF(C22/Настройки!$C$6&gt;=Настройки!$B$31,3,2))),"")),IFERROR(VLOOKUP(D22,Настройки!$A$35:$B$37,2,FALSE()),5),IFERROR(VLOOKUP(E22,Настройки!$A$41:$B$44,2,FALSE()),5)))</f>
        <v/>
      </c>
      <c r="G22" s="36" t="str">
        <f aca="false">IF(F22="","",Настройки!$B$6*VLOOKUP(F22,Настройки!$A$16:$B$19,2,FALSE()))</f>
        <v/>
      </c>
      <c r="H22" s="34"/>
      <c r="I22" s="34"/>
      <c r="J22" s="34"/>
      <c r="K22" s="34"/>
      <c r="L22" s="35" t="str">
        <f aca="false">IF(OR($A22="",H22=""),"",MIN(IF($B22="ТТП",IF(H22/Настройки!$C$7&gt;=Настройки!$B$23,5,IF(H22/Настройки!$C$7&gt;=Настройки!$B$24,4,IF(H22/Настройки!$C$7&gt;=Настройки!$B$25,3,2))),IF($B22="ТТМ",IF(H22/Настройки!$C$7&gt;=Настройки!$B$29,5,IF(H22/Настройки!$C$7&gt;=Настройки!$B$30,4,IF(H22/Настройки!$C$7&gt;=Настройки!$B$31,3,2))),"")),IF($B22&lt;&gt;"ТТП",5,IF(I22="Да",5,4)),IFERROR(VLOOKUP(J22,Настройки!$A$35:$B$37,2,FALSE()),5),IFERROR(VLOOKUP(K22,Настройки!$A$41:$B$44,2,FALSE()),5)))</f>
        <v/>
      </c>
      <c r="M22" s="36" t="str">
        <f aca="false">IF(L22="","",MIN(Настройки!$B$7,Настройки!$B$7*VLOOKUP(L22,Настройки!$A$16:$B$19,2,FALSE())+IF(AND($B22="ТТМ",I22="Да"),Настройки!$B$7*Настройки!$A$53,0)))</f>
        <v/>
      </c>
      <c r="N22" s="34"/>
      <c r="O22" s="34"/>
      <c r="P22" s="34"/>
      <c r="Q22" s="34"/>
      <c r="R22" s="35" t="str">
        <f aca="false">IF(OR($A22="",N22=""),"",MIN(IF($B22="ТТП",IF(N22/Настройки!$C$8&gt;=Настройки!$B$23,5,IF(N22/Настройки!$C$8&gt;=Настройки!$B$24,4,IF(N22/Настройки!$C$8&gt;=Настройки!$B$25,3,2))),IF($B22="ТТМ",IF(N22/Настройки!$C$8&gt;=Настройки!$B$29,5,IF(N22/Настройки!$C$8&gt;=Настройки!$B$30,4,IF(N22/Настройки!$C$8&gt;=Настройки!$B$31,3,2))),"")),IF($B22&lt;&gt;"ТТП",5,IF(O22="Да",5,4)),IFERROR(VLOOKUP(P22,Настройки!$A$35:$B$37,2,FALSE()),5),IFERROR(VLOOKUP(Q22,Настройки!$A$41:$B$44,2,FALSE()),5)))</f>
        <v/>
      </c>
      <c r="S22" s="36" t="str">
        <f aca="false">IF(R22="","",MIN(Настройки!$B$8,Настройки!$B$8*VLOOKUP(R22,Настройки!$A$16:$B$19,2,FALSE())+IF(AND($B22="ТТМ",O22="Да"),Настройки!$B$8*Настройки!$A$53,0)))</f>
        <v/>
      </c>
      <c r="T22" s="34"/>
      <c r="U22" s="34"/>
      <c r="V22" s="34"/>
      <c r="W22" s="34"/>
      <c r="X22" s="35" t="str">
        <f aca="false">IF(OR($A22="",T22=""),"",MIN(IF($B22="ТТП",IF(T22/Настройки!$C$9&gt;=Настройки!$B$23,5,IF(T22/Настройки!$C$9&gt;=Настройки!$B$24,4,IF(T22/Настройки!$C$9&gt;=Настройки!$B$25,3,2))),IF($B22="ТТМ",IF(T22/Настройки!$C$9&gt;=Настройки!$B$29,5,IF(T22/Настройки!$C$9&gt;=Настройки!$B$30,4,IF(T22/Настройки!$C$9&gt;=Настройки!$B$31,3,2))),"")),IF($B22&lt;&gt;"ТТП",5,IF(U22="Да",5,4)),IFERROR(VLOOKUP(V22,Настройки!$A$35:$B$37,2,FALSE()),5),IFERROR(VLOOKUP(W22,Настройки!$A$41:$B$44,2,FALSE()),5)))</f>
        <v/>
      </c>
      <c r="Y22" s="36" t="str">
        <f aca="false">IF(X22="","",MIN(Настройки!$B$9,Настройки!$B$9*VLOOKUP(X22,Настройки!$A$16:$B$19,2,FALSE())+IF(AND($B22="ТТМ",U22="Да"),Настройки!$B$9*Настройки!$A$53,0)))</f>
        <v/>
      </c>
      <c r="Z22" s="34"/>
      <c r="AA22" s="34"/>
      <c r="AB22" s="34"/>
      <c r="AC22" s="34"/>
      <c r="AD22" s="35" t="str">
        <f aca="false">IF(OR($A22="",Z22=""),"",MIN(IF($B22="ТТП",IF(Z22/Настройки!$C$10&gt;=Настройки!$B$23,5,IF(Z22/Настройки!$C$10&gt;=Настройки!$B$24,4,IF(Z22/Настройки!$C$10&gt;=Настройки!$B$25,3,2))),IF($B22="ТТМ",IF(Z22/Настройки!$C$10&gt;=Настройки!$B$29,5,IF(Z22/Настройки!$C$10&gt;=Настройки!$B$30,4,IF(Z22/Настройки!$C$10&gt;=Настройки!$B$31,3,2))),"")),IF($B22&lt;&gt;"ТТП",5,IF(AA22="Да",5,4)),IFERROR(VLOOKUP(AB22,Настройки!$A$35:$B$37,2,FALSE()),5),IFERROR(VLOOKUP(AC22,Настройки!$A$41:$B$44,2,FALSE()),5)))</f>
        <v/>
      </c>
      <c r="AE22" s="36" t="str">
        <f aca="false">IF(AD22="","",MIN(Настройки!$B$10,Настройки!$B$10*VLOOKUP(AD22,Настройки!$A$16:$B$19,2,FALSE())+IF(AND($B22="ТТМ",AA22="Да"),Настройки!$B$10*Настройки!$A$53,0)))</f>
        <v/>
      </c>
      <c r="AF22" s="34"/>
      <c r="AG22" s="34"/>
      <c r="AH22" s="34"/>
      <c r="AI22" s="34"/>
      <c r="AJ22" s="35" t="str">
        <f aca="false">IF(OR($A22="",AF22=""),"",MIN(IF($B22="ТТП",IF(AF22/Настройки!$C$11&gt;=Настройки!$B$23,5,IF(AF22/Настройки!$C$11&gt;=Настройки!$B$24,4,IF(AF22/Настройки!$C$11&gt;=Настройки!$B$25,3,2))),IF($B22="ТТМ",IF(AF22/Настройки!$C$11&gt;=Настройки!$B$29,5,IF(AF22/Настройки!$C$11&gt;=Настройки!$B$30,4,IF(AF22/Настройки!$C$11&gt;=Настройки!$B$31,3,2))),"")),IF($B22&lt;&gt;"ТТП",5,IF(AG22="Да",5,4)),IFERROR(VLOOKUP(AH22,Настройки!$A$35:$B$37,2,FALSE()),5),IFERROR(VLOOKUP(AI22,Настройки!$A$41:$B$44,2,FALSE()),5)))</f>
        <v/>
      </c>
      <c r="AK22" s="36" t="str">
        <f aca="false">IF(AJ22="","",MIN(Настройки!$B$11,Настройки!$B$11*VLOOKUP(AJ22,Настройки!$A$16:$B$19,2,FALSE())+IF(AND($B22="ТТМ",AG22="Да"),Настройки!$B$11*Настройки!$A$53,0)))</f>
        <v/>
      </c>
      <c r="AL22" s="34"/>
      <c r="AM22" s="34"/>
      <c r="AN22" s="34"/>
      <c r="AO22" s="35" t="str">
        <f aca="false">IF(OR($A22="",AL22=""),"",MIN(IF($B22="ТТП",IF(AL22/Настройки!$C$57&gt;=Настройки!$B$23,5,IF(AL22/Настройки!$C$57&gt;=Настройки!$B$24,4,IF(AL22/Настройки!$C$57&gt;=Настройки!$B$25,3,2))),IF($B22="ТТМ",IF(AL22/Настройки!$C$57&gt;=Настройки!$B$29,5,IF(AL22/Настройки!$C$57&gt;=Настройки!$B$30,4,IF(AL22/Настройки!$C$57&gt;=Настройки!$B$31,3,2))),"")),IF($B22&lt;&gt;"ТТП",5,IF(AM22="Да",5,4)),IFERROR(VLOOKUP(AN22,Настройки!$A$35:$B$37,2,FALSE()),5)))</f>
        <v/>
      </c>
      <c r="AP22" s="36" t="str">
        <f aca="false">IF(AO22="","",MIN(Настройки!$B$57,Настройки!$B$57*VLOOKUP(AO22,Настройки!$A$16:$B$19,2,FALSE())+IF(AND($B22="ТТМ",AM22="Да"),Настройки!$B$57*Настройки!$A$53,0)))</f>
        <v/>
      </c>
      <c r="AQ22" s="36" t="str">
        <f aca="false">IF($A22="","",SUM(G22,M22,S22,Y22,AE22,AK22)+IF(AP22="",0,AP22))</f>
        <v/>
      </c>
      <c r="AR22" s="37" t="str">
        <f aca="false">IF(AQ22="","",VLOOKUP(AQ22,Настройки!$A$48:$B$51,2,TRUE()))</f>
        <v/>
      </c>
    </row>
    <row r="23" customFormat="false" ht="15" hidden="false" customHeight="true" outlineLevel="0" collapsed="false">
      <c r="A23" s="10"/>
      <c r="B23" s="34"/>
      <c r="C23" s="34"/>
      <c r="D23" s="34"/>
      <c r="E23" s="34"/>
      <c r="F23" s="35" t="str">
        <f aca="false">IF(OR($A23="",C23=""),"",MIN(IF($B23="ТТП",IF(C23/Настройки!$C$6&gt;=Настройки!$B$23,5,IF(C23/Настройки!$C$6&gt;=Настройки!$B$24,4,IF(C23/Настройки!$C$6&gt;=Настройки!$B$25,3,2))),IF($B23="ТТМ",IF(C23/Настройки!$C$6&gt;=Настройки!$B$29,5,IF(C23/Настройки!$C$6&gt;=Настройки!$B$30,4,IF(C23/Настройки!$C$6&gt;=Настройки!$B$31,3,2))),"")),IFERROR(VLOOKUP(D23,Настройки!$A$35:$B$37,2,FALSE()),5),IFERROR(VLOOKUP(E23,Настройки!$A$41:$B$44,2,FALSE()),5)))</f>
        <v/>
      </c>
      <c r="G23" s="36" t="str">
        <f aca="false">IF(F23="","",Настройки!$B$6*VLOOKUP(F23,Настройки!$A$16:$B$19,2,FALSE()))</f>
        <v/>
      </c>
      <c r="H23" s="34"/>
      <c r="I23" s="34"/>
      <c r="J23" s="34"/>
      <c r="K23" s="34"/>
      <c r="L23" s="35" t="str">
        <f aca="false">IF(OR($A23="",H23=""),"",MIN(IF($B23="ТТП",IF(H23/Настройки!$C$7&gt;=Настройки!$B$23,5,IF(H23/Настройки!$C$7&gt;=Настройки!$B$24,4,IF(H23/Настройки!$C$7&gt;=Настройки!$B$25,3,2))),IF($B23="ТТМ",IF(H23/Настройки!$C$7&gt;=Настройки!$B$29,5,IF(H23/Настройки!$C$7&gt;=Настройки!$B$30,4,IF(H23/Настройки!$C$7&gt;=Настройки!$B$31,3,2))),"")),IF($B23&lt;&gt;"ТТП",5,IF(I23="Да",5,4)),IFERROR(VLOOKUP(J23,Настройки!$A$35:$B$37,2,FALSE()),5),IFERROR(VLOOKUP(K23,Настройки!$A$41:$B$44,2,FALSE()),5)))</f>
        <v/>
      </c>
      <c r="M23" s="36" t="str">
        <f aca="false">IF(L23="","",MIN(Настройки!$B$7,Настройки!$B$7*VLOOKUP(L23,Настройки!$A$16:$B$19,2,FALSE())+IF(AND($B23="ТТМ",I23="Да"),Настройки!$B$7*Настройки!$A$53,0)))</f>
        <v/>
      </c>
      <c r="N23" s="34"/>
      <c r="O23" s="34"/>
      <c r="P23" s="34"/>
      <c r="Q23" s="34"/>
      <c r="R23" s="35" t="str">
        <f aca="false">IF(OR($A23="",N23=""),"",MIN(IF($B23="ТТП",IF(N23/Настройки!$C$8&gt;=Настройки!$B$23,5,IF(N23/Настройки!$C$8&gt;=Настройки!$B$24,4,IF(N23/Настройки!$C$8&gt;=Настройки!$B$25,3,2))),IF($B23="ТТМ",IF(N23/Настройки!$C$8&gt;=Настройки!$B$29,5,IF(N23/Настройки!$C$8&gt;=Настройки!$B$30,4,IF(N23/Настройки!$C$8&gt;=Настройки!$B$31,3,2))),"")),IF($B23&lt;&gt;"ТТП",5,IF(O23="Да",5,4)),IFERROR(VLOOKUP(P23,Настройки!$A$35:$B$37,2,FALSE()),5),IFERROR(VLOOKUP(Q23,Настройки!$A$41:$B$44,2,FALSE()),5)))</f>
        <v/>
      </c>
      <c r="S23" s="36" t="str">
        <f aca="false">IF(R23="","",MIN(Настройки!$B$8,Настройки!$B$8*VLOOKUP(R23,Настройки!$A$16:$B$19,2,FALSE())+IF(AND($B23="ТТМ",O23="Да"),Настройки!$B$8*Настройки!$A$53,0)))</f>
        <v/>
      </c>
      <c r="T23" s="34"/>
      <c r="U23" s="34"/>
      <c r="V23" s="34"/>
      <c r="W23" s="34"/>
      <c r="X23" s="35" t="str">
        <f aca="false">IF(OR($A23="",T23=""),"",MIN(IF($B23="ТТП",IF(T23/Настройки!$C$9&gt;=Настройки!$B$23,5,IF(T23/Настройки!$C$9&gt;=Настройки!$B$24,4,IF(T23/Настройки!$C$9&gt;=Настройки!$B$25,3,2))),IF($B23="ТТМ",IF(T23/Настройки!$C$9&gt;=Настройки!$B$29,5,IF(T23/Настройки!$C$9&gt;=Настройки!$B$30,4,IF(T23/Настройки!$C$9&gt;=Настройки!$B$31,3,2))),"")),IF($B23&lt;&gt;"ТТП",5,IF(U23="Да",5,4)),IFERROR(VLOOKUP(V23,Настройки!$A$35:$B$37,2,FALSE()),5),IFERROR(VLOOKUP(W23,Настройки!$A$41:$B$44,2,FALSE()),5)))</f>
        <v/>
      </c>
      <c r="Y23" s="36" t="str">
        <f aca="false">IF(X23="","",MIN(Настройки!$B$9,Настройки!$B$9*VLOOKUP(X23,Настройки!$A$16:$B$19,2,FALSE())+IF(AND($B23="ТТМ",U23="Да"),Настройки!$B$9*Настройки!$A$53,0)))</f>
        <v/>
      </c>
      <c r="Z23" s="34"/>
      <c r="AA23" s="34"/>
      <c r="AB23" s="34"/>
      <c r="AC23" s="34"/>
      <c r="AD23" s="35" t="str">
        <f aca="false">IF(OR($A23="",Z23=""),"",MIN(IF($B23="ТТП",IF(Z23/Настройки!$C$10&gt;=Настройки!$B$23,5,IF(Z23/Настройки!$C$10&gt;=Настройки!$B$24,4,IF(Z23/Настройки!$C$10&gt;=Настройки!$B$25,3,2))),IF($B23="ТТМ",IF(Z23/Настройки!$C$10&gt;=Настройки!$B$29,5,IF(Z23/Настройки!$C$10&gt;=Настройки!$B$30,4,IF(Z23/Настройки!$C$10&gt;=Настройки!$B$31,3,2))),"")),IF($B23&lt;&gt;"ТТП",5,IF(AA23="Да",5,4)),IFERROR(VLOOKUP(AB23,Настройки!$A$35:$B$37,2,FALSE()),5),IFERROR(VLOOKUP(AC23,Настройки!$A$41:$B$44,2,FALSE()),5)))</f>
        <v/>
      </c>
      <c r="AE23" s="36" t="str">
        <f aca="false">IF(AD23="","",MIN(Настройки!$B$10,Настройки!$B$10*VLOOKUP(AD23,Настройки!$A$16:$B$19,2,FALSE())+IF(AND($B23="ТТМ",AA23="Да"),Настройки!$B$10*Настройки!$A$53,0)))</f>
        <v/>
      </c>
      <c r="AF23" s="34"/>
      <c r="AG23" s="34"/>
      <c r="AH23" s="34"/>
      <c r="AI23" s="34"/>
      <c r="AJ23" s="35" t="str">
        <f aca="false">IF(OR($A23="",AF23=""),"",MIN(IF($B23="ТТП",IF(AF23/Настройки!$C$11&gt;=Настройки!$B$23,5,IF(AF23/Настройки!$C$11&gt;=Настройки!$B$24,4,IF(AF23/Настройки!$C$11&gt;=Настройки!$B$25,3,2))),IF($B23="ТТМ",IF(AF23/Настройки!$C$11&gt;=Настройки!$B$29,5,IF(AF23/Настройки!$C$11&gt;=Настройки!$B$30,4,IF(AF23/Настройки!$C$11&gt;=Настройки!$B$31,3,2))),"")),IF($B23&lt;&gt;"ТТП",5,IF(AG23="Да",5,4)),IFERROR(VLOOKUP(AH23,Настройки!$A$35:$B$37,2,FALSE()),5),IFERROR(VLOOKUP(AI23,Настройки!$A$41:$B$44,2,FALSE()),5)))</f>
        <v/>
      </c>
      <c r="AK23" s="36" t="str">
        <f aca="false">IF(AJ23="","",MIN(Настройки!$B$11,Настройки!$B$11*VLOOKUP(AJ23,Настройки!$A$16:$B$19,2,FALSE())+IF(AND($B23="ТТМ",AG23="Да"),Настройки!$B$11*Настройки!$A$53,0)))</f>
        <v/>
      </c>
      <c r="AL23" s="34"/>
      <c r="AM23" s="34"/>
      <c r="AN23" s="34"/>
      <c r="AO23" s="35" t="str">
        <f aca="false">IF(OR($A23="",AL23=""),"",MIN(IF($B23="ТТП",IF(AL23/Настройки!$C$57&gt;=Настройки!$B$23,5,IF(AL23/Настройки!$C$57&gt;=Настройки!$B$24,4,IF(AL23/Настройки!$C$57&gt;=Настройки!$B$25,3,2))),IF($B23="ТТМ",IF(AL23/Настройки!$C$57&gt;=Настройки!$B$29,5,IF(AL23/Настройки!$C$57&gt;=Настройки!$B$30,4,IF(AL23/Настройки!$C$57&gt;=Настройки!$B$31,3,2))),"")),IF($B23&lt;&gt;"ТТП",5,IF(AM23="Да",5,4)),IFERROR(VLOOKUP(AN23,Настройки!$A$35:$B$37,2,FALSE()),5)))</f>
        <v/>
      </c>
      <c r="AP23" s="36" t="str">
        <f aca="false">IF(AO23="","",MIN(Настройки!$B$57,Настройки!$B$57*VLOOKUP(AO23,Настройки!$A$16:$B$19,2,FALSE())+IF(AND($B23="ТТМ",AM23="Да"),Настройки!$B$57*Настройки!$A$53,0)))</f>
        <v/>
      </c>
      <c r="AQ23" s="36" t="str">
        <f aca="false">IF($A23="","",SUM(G23,M23,S23,Y23,AE23,AK23)+IF(AP23="",0,AP23))</f>
        <v/>
      </c>
      <c r="AR23" s="37" t="str">
        <f aca="false">IF(AQ23="","",VLOOKUP(AQ23,Настройки!$A$48:$B$51,2,TRUE()))</f>
        <v/>
      </c>
    </row>
    <row r="24" customFormat="false" ht="15" hidden="false" customHeight="true" outlineLevel="0" collapsed="false">
      <c r="A24" s="10"/>
      <c r="B24" s="34"/>
      <c r="C24" s="34"/>
      <c r="D24" s="34"/>
      <c r="E24" s="34"/>
      <c r="F24" s="35" t="str">
        <f aca="false">IF(OR($A24="",C24=""),"",MIN(IF($B24="ТТП",IF(C24/Настройки!$C$6&gt;=Настройки!$B$23,5,IF(C24/Настройки!$C$6&gt;=Настройки!$B$24,4,IF(C24/Настройки!$C$6&gt;=Настройки!$B$25,3,2))),IF($B24="ТТМ",IF(C24/Настройки!$C$6&gt;=Настройки!$B$29,5,IF(C24/Настройки!$C$6&gt;=Настройки!$B$30,4,IF(C24/Настройки!$C$6&gt;=Настройки!$B$31,3,2))),"")),IFERROR(VLOOKUP(D24,Настройки!$A$35:$B$37,2,FALSE()),5),IFERROR(VLOOKUP(E24,Настройки!$A$41:$B$44,2,FALSE()),5)))</f>
        <v/>
      </c>
      <c r="G24" s="36" t="str">
        <f aca="false">IF(F24="","",Настройки!$B$6*VLOOKUP(F24,Настройки!$A$16:$B$19,2,FALSE()))</f>
        <v/>
      </c>
      <c r="H24" s="34"/>
      <c r="I24" s="34"/>
      <c r="J24" s="34"/>
      <c r="K24" s="34"/>
      <c r="L24" s="35" t="str">
        <f aca="false">IF(OR($A24="",H24=""),"",MIN(IF($B24="ТТП",IF(H24/Настройки!$C$7&gt;=Настройки!$B$23,5,IF(H24/Настройки!$C$7&gt;=Настройки!$B$24,4,IF(H24/Настройки!$C$7&gt;=Настройки!$B$25,3,2))),IF($B24="ТТМ",IF(H24/Настройки!$C$7&gt;=Настройки!$B$29,5,IF(H24/Настройки!$C$7&gt;=Настройки!$B$30,4,IF(H24/Настройки!$C$7&gt;=Настройки!$B$31,3,2))),"")),IF($B24&lt;&gt;"ТТП",5,IF(I24="Да",5,4)),IFERROR(VLOOKUP(J24,Настройки!$A$35:$B$37,2,FALSE()),5),IFERROR(VLOOKUP(K24,Настройки!$A$41:$B$44,2,FALSE()),5)))</f>
        <v/>
      </c>
      <c r="M24" s="36" t="str">
        <f aca="false">IF(L24="","",MIN(Настройки!$B$7,Настройки!$B$7*VLOOKUP(L24,Настройки!$A$16:$B$19,2,FALSE())+IF(AND($B24="ТТМ",I24="Да"),Настройки!$B$7*Настройки!$A$53,0)))</f>
        <v/>
      </c>
      <c r="N24" s="34"/>
      <c r="O24" s="34"/>
      <c r="P24" s="34"/>
      <c r="Q24" s="34"/>
      <c r="R24" s="35" t="str">
        <f aca="false">IF(OR($A24="",N24=""),"",MIN(IF($B24="ТТП",IF(N24/Настройки!$C$8&gt;=Настройки!$B$23,5,IF(N24/Настройки!$C$8&gt;=Настройки!$B$24,4,IF(N24/Настройки!$C$8&gt;=Настройки!$B$25,3,2))),IF($B24="ТТМ",IF(N24/Настройки!$C$8&gt;=Настройки!$B$29,5,IF(N24/Настройки!$C$8&gt;=Настройки!$B$30,4,IF(N24/Настройки!$C$8&gt;=Настройки!$B$31,3,2))),"")),IF($B24&lt;&gt;"ТТП",5,IF(O24="Да",5,4)),IFERROR(VLOOKUP(P24,Настройки!$A$35:$B$37,2,FALSE()),5),IFERROR(VLOOKUP(Q24,Настройки!$A$41:$B$44,2,FALSE()),5)))</f>
        <v/>
      </c>
      <c r="S24" s="36" t="str">
        <f aca="false">IF(R24="","",MIN(Настройки!$B$8,Настройки!$B$8*VLOOKUP(R24,Настройки!$A$16:$B$19,2,FALSE())+IF(AND($B24="ТТМ",O24="Да"),Настройки!$B$8*Настройки!$A$53,0)))</f>
        <v/>
      </c>
      <c r="T24" s="34"/>
      <c r="U24" s="34"/>
      <c r="V24" s="34"/>
      <c r="W24" s="34"/>
      <c r="X24" s="35" t="str">
        <f aca="false">IF(OR($A24="",T24=""),"",MIN(IF($B24="ТТП",IF(T24/Настройки!$C$9&gt;=Настройки!$B$23,5,IF(T24/Настройки!$C$9&gt;=Настройки!$B$24,4,IF(T24/Настройки!$C$9&gt;=Настройки!$B$25,3,2))),IF($B24="ТТМ",IF(T24/Настройки!$C$9&gt;=Настройки!$B$29,5,IF(T24/Настройки!$C$9&gt;=Настройки!$B$30,4,IF(T24/Настройки!$C$9&gt;=Настройки!$B$31,3,2))),"")),IF($B24&lt;&gt;"ТТП",5,IF(U24="Да",5,4)),IFERROR(VLOOKUP(V24,Настройки!$A$35:$B$37,2,FALSE()),5),IFERROR(VLOOKUP(W24,Настройки!$A$41:$B$44,2,FALSE()),5)))</f>
        <v/>
      </c>
      <c r="Y24" s="36" t="str">
        <f aca="false">IF(X24="","",MIN(Настройки!$B$9,Настройки!$B$9*VLOOKUP(X24,Настройки!$A$16:$B$19,2,FALSE())+IF(AND($B24="ТТМ",U24="Да"),Настройки!$B$9*Настройки!$A$53,0)))</f>
        <v/>
      </c>
      <c r="Z24" s="34"/>
      <c r="AA24" s="34"/>
      <c r="AB24" s="34"/>
      <c r="AC24" s="34"/>
      <c r="AD24" s="35" t="str">
        <f aca="false">IF(OR($A24="",Z24=""),"",MIN(IF($B24="ТТП",IF(Z24/Настройки!$C$10&gt;=Настройки!$B$23,5,IF(Z24/Настройки!$C$10&gt;=Настройки!$B$24,4,IF(Z24/Настройки!$C$10&gt;=Настройки!$B$25,3,2))),IF($B24="ТТМ",IF(Z24/Настройки!$C$10&gt;=Настройки!$B$29,5,IF(Z24/Настройки!$C$10&gt;=Настройки!$B$30,4,IF(Z24/Настройки!$C$10&gt;=Настройки!$B$31,3,2))),"")),IF($B24&lt;&gt;"ТТП",5,IF(AA24="Да",5,4)),IFERROR(VLOOKUP(AB24,Настройки!$A$35:$B$37,2,FALSE()),5),IFERROR(VLOOKUP(AC24,Настройки!$A$41:$B$44,2,FALSE()),5)))</f>
        <v/>
      </c>
      <c r="AE24" s="36" t="str">
        <f aca="false">IF(AD24="","",MIN(Настройки!$B$10,Настройки!$B$10*VLOOKUP(AD24,Настройки!$A$16:$B$19,2,FALSE())+IF(AND($B24="ТТМ",AA24="Да"),Настройки!$B$10*Настройки!$A$53,0)))</f>
        <v/>
      </c>
      <c r="AF24" s="34"/>
      <c r="AG24" s="34"/>
      <c r="AH24" s="34"/>
      <c r="AI24" s="34"/>
      <c r="AJ24" s="35" t="str">
        <f aca="false">IF(OR($A24="",AF24=""),"",MIN(IF($B24="ТТП",IF(AF24/Настройки!$C$11&gt;=Настройки!$B$23,5,IF(AF24/Настройки!$C$11&gt;=Настройки!$B$24,4,IF(AF24/Настройки!$C$11&gt;=Настройки!$B$25,3,2))),IF($B24="ТТМ",IF(AF24/Настройки!$C$11&gt;=Настройки!$B$29,5,IF(AF24/Настройки!$C$11&gt;=Настройки!$B$30,4,IF(AF24/Настройки!$C$11&gt;=Настройки!$B$31,3,2))),"")),IF($B24&lt;&gt;"ТТП",5,IF(AG24="Да",5,4)),IFERROR(VLOOKUP(AH24,Настройки!$A$35:$B$37,2,FALSE()),5),IFERROR(VLOOKUP(AI24,Настройки!$A$41:$B$44,2,FALSE()),5)))</f>
        <v/>
      </c>
      <c r="AK24" s="36" t="str">
        <f aca="false">IF(AJ24="","",MIN(Настройки!$B$11,Настройки!$B$11*VLOOKUP(AJ24,Настройки!$A$16:$B$19,2,FALSE())+IF(AND($B24="ТТМ",AG24="Да"),Настройки!$B$11*Настройки!$A$53,0)))</f>
        <v/>
      </c>
      <c r="AL24" s="34"/>
      <c r="AM24" s="34"/>
      <c r="AN24" s="34"/>
      <c r="AO24" s="35" t="str">
        <f aca="false">IF(OR($A24="",AL24=""),"",MIN(IF($B24="ТТП",IF(AL24/Настройки!$C$57&gt;=Настройки!$B$23,5,IF(AL24/Настройки!$C$57&gt;=Настройки!$B$24,4,IF(AL24/Настройки!$C$57&gt;=Настройки!$B$25,3,2))),IF($B24="ТТМ",IF(AL24/Настройки!$C$57&gt;=Настройки!$B$29,5,IF(AL24/Настройки!$C$57&gt;=Настройки!$B$30,4,IF(AL24/Настройки!$C$57&gt;=Настройки!$B$31,3,2))),"")),IF($B24&lt;&gt;"ТТП",5,IF(AM24="Да",5,4)),IFERROR(VLOOKUP(AN24,Настройки!$A$35:$B$37,2,FALSE()),5)))</f>
        <v/>
      </c>
      <c r="AP24" s="36" t="str">
        <f aca="false">IF(AO24="","",MIN(Настройки!$B$57,Настройки!$B$57*VLOOKUP(AO24,Настройки!$A$16:$B$19,2,FALSE())+IF(AND($B24="ТТМ",AM24="Да"),Настройки!$B$57*Настройки!$A$53,0)))</f>
        <v/>
      </c>
      <c r="AQ24" s="36" t="str">
        <f aca="false">IF($A24="","",SUM(G24,M24,S24,Y24,AE24,AK24)+IF(AP24="",0,AP24))</f>
        <v/>
      </c>
      <c r="AR24" s="37" t="str">
        <f aca="false">IF(AQ24="","",VLOOKUP(AQ24,Настройки!$A$48:$B$51,2,TRUE()))</f>
        <v/>
      </c>
    </row>
    <row r="25" customFormat="false" ht="15" hidden="false" customHeight="true" outlineLevel="0" collapsed="false">
      <c r="A25" s="10"/>
      <c r="B25" s="34"/>
      <c r="C25" s="34"/>
      <c r="D25" s="34"/>
      <c r="E25" s="34"/>
      <c r="F25" s="35" t="str">
        <f aca="false">IF(OR($A25="",C25=""),"",MIN(IF($B25="ТТП",IF(C25/Настройки!$C$6&gt;=Настройки!$B$23,5,IF(C25/Настройки!$C$6&gt;=Настройки!$B$24,4,IF(C25/Настройки!$C$6&gt;=Настройки!$B$25,3,2))),IF($B25="ТТМ",IF(C25/Настройки!$C$6&gt;=Настройки!$B$29,5,IF(C25/Настройки!$C$6&gt;=Настройки!$B$30,4,IF(C25/Настройки!$C$6&gt;=Настройки!$B$31,3,2))),"")),IFERROR(VLOOKUP(D25,Настройки!$A$35:$B$37,2,FALSE()),5),IFERROR(VLOOKUP(E25,Настройки!$A$41:$B$44,2,FALSE()),5)))</f>
        <v/>
      </c>
      <c r="G25" s="36" t="str">
        <f aca="false">IF(F25="","",Настройки!$B$6*VLOOKUP(F25,Настройки!$A$16:$B$19,2,FALSE()))</f>
        <v/>
      </c>
      <c r="H25" s="34"/>
      <c r="I25" s="34"/>
      <c r="J25" s="34"/>
      <c r="K25" s="34"/>
      <c r="L25" s="35" t="str">
        <f aca="false">IF(OR($A25="",H25=""),"",MIN(IF($B25="ТТП",IF(H25/Настройки!$C$7&gt;=Настройки!$B$23,5,IF(H25/Настройки!$C$7&gt;=Настройки!$B$24,4,IF(H25/Настройки!$C$7&gt;=Настройки!$B$25,3,2))),IF($B25="ТТМ",IF(H25/Настройки!$C$7&gt;=Настройки!$B$29,5,IF(H25/Настройки!$C$7&gt;=Настройки!$B$30,4,IF(H25/Настройки!$C$7&gt;=Настройки!$B$31,3,2))),"")),IF($B25&lt;&gt;"ТТП",5,IF(I25="Да",5,4)),IFERROR(VLOOKUP(J25,Настройки!$A$35:$B$37,2,FALSE()),5),IFERROR(VLOOKUP(K25,Настройки!$A$41:$B$44,2,FALSE()),5)))</f>
        <v/>
      </c>
      <c r="M25" s="36" t="str">
        <f aca="false">IF(L25="","",MIN(Настройки!$B$7,Настройки!$B$7*VLOOKUP(L25,Настройки!$A$16:$B$19,2,FALSE())+IF(AND($B25="ТТМ",I25="Да"),Настройки!$B$7*Настройки!$A$53,0)))</f>
        <v/>
      </c>
      <c r="N25" s="34"/>
      <c r="O25" s="34"/>
      <c r="P25" s="34"/>
      <c r="Q25" s="34"/>
      <c r="R25" s="35" t="str">
        <f aca="false">IF(OR($A25="",N25=""),"",MIN(IF($B25="ТТП",IF(N25/Настройки!$C$8&gt;=Настройки!$B$23,5,IF(N25/Настройки!$C$8&gt;=Настройки!$B$24,4,IF(N25/Настройки!$C$8&gt;=Настройки!$B$25,3,2))),IF($B25="ТТМ",IF(N25/Настройки!$C$8&gt;=Настройки!$B$29,5,IF(N25/Настройки!$C$8&gt;=Настройки!$B$30,4,IF(N25/Настройки!$C$8&gt;=Настройки!$B$31,3,2))),"")),IF($B25&lt;&gt;"ТТП",5,IF(O25="Да",5,4)),IFERROR(VLOOKUP(P25,Настройки!$A$35:$B$37,2,FALSE()),5),IFERROR(VLOOKUP(Q25,Настройки!$A$41:$B$44,2,FALSE()),5)))</f>
        <v/>
      </c>
      <c r="S25" s="36" t="str">
        <f aca="false">IF(R25="","",MIN(Настройки!$B$8,Настройки!$B$8*VLOOKUP(R25,Настройки!$A$16:$B$19,2,FALSE())+IF(AND($B25="ТТМ",O25="Да"),Настройки!$B$8*Настройки!$A$53,0)))</f>
        <v/>
      </c>
      <c r="T25" s="34"/>
      <c r="U25" s="34"/>
      <c r="V25" s="34"/>
      <c r="W25" s="34"/>
      <c r="X25" s="35" t="str">
        <f aca="false">IF(OR($A25="",T25=""),"",MIN(IF($B25="ТТП",IF(T25/Настройки!$C$9&gt;=Настройки!$B$23,5,IF(T25/Настройки!$C$9&gt;=Настройки!$B$24,4,IF(T25/Настройки!$C$9&gt;=Настройки!$B$25,3,2))),IF($B25="ТТМ",IF(T25/Настройки!$C$9&gt;=Настройки!$B$29,5,IF(T25/Настройки!$C$9&gt;=Настройки!$B$30,4,IF(T25/Настройки!$C$9&gt;=Настройки!$B$31,3,2))),"")),IF($B25&lt;&gt;"ТТП",5,IF(U25="Да",5,4)),IFERROR(VLOOKUP(V25,Настройки!$A$35:$B$37,2,FALSE()),5),IFERROR(VLOOKUP(W25,Настройки!$A$41:$B$44,2,FALSE()),5)))</f>
        <v/>
      </c>
      <c r="Y25" s="36" t="str">
        <f aca="false">IF(X25="","",MIN(Настройки!$B$9,Настройки!$B$9*VLOOKUP(X25,Настройки!$A$16:$B$19,2,FALSE())+IF(AND($B25="ТТМ",U25="Да"),Настройки!$B$9*Настройки!$A$53,0)))</f>
        <v/>
      </c>
      <c r="Z25" s="34"/>
      <c r="AA25" s="34"/>
      <c r="AB25" s="34"/>
      <c r="AC25" s="34"/>
      <c r="AD25" s="35" t="str">
        <f aca="false">IF(OR($A25="",Z25=""),"",MIN(IF($B25="ТТП",IF(Z25/Настройки!$C$10&gt;=Настройки!$B$23,5,IF(Z25/Настройки!$C$10&gt;=Настройки!$B$24,4,IF(Z25/Настройки!$C$10&gt;=Настройки!$B$25,3,2))),IF($B25="ТТМ",IF(Z25/Настройки!$C$10&gt;=Настройки!$B$29,5,IF(Z25/Настройки!$C$10&gt;=Настройки!$B$30,4,IF(Z25/Настройки!$C$10&gt;=Настройки!$B$31,3,2))),"")),IF($B25&lt;&gt;"ТТП",5,IF(AA25="Да",5,4)),IFERROR(VLOOKUP(AB25,Настройки!$A$35:$B$37,2,FALSE()),5),IFERROR(VLOOKUP(AC25,Настройки!$A$41:$B$44,2,FALSE()),5)))</f>
        <v/>
      </c>
      <c r="AE25" s="36" t="str">
        <f aca="false">IF(AD25="","",MIN(Настройки!$B$10,Настройки!$B$10*VLOOKUP(AD25,Настройки!$A$16:$B$19,2,FALSE())+IF(AND($B25="ТТМ",AA25="Да"),Настройки!$B$10*Настройки!$A$53,0)))</f>
        <v/>
      </c>
      <c r="AF25" s="34"/>
      <c r="AG25" s="34"/>
      <c r="AH25" s="34"/>
      <c r="AI25" s="34"/>
      <c r="AJ25" s="35" t="str">
        <f aca="false">IF(OR($A25="",AF25=""),"",MIN(IF($B25="ТТП",IF(AF25/Настройки!$C$11&gt;=Настройки!$B$23,5,IF(AF25/Настройки!$C$11&gt;=Настройки!$B$24,4,IF(AF25/Настройки!$C$11&gt;=Настройки!$B$25,3,2))),IF($B25="ТТМ",IF(AF25/Настройки!$C$11&gt;=Настройки!$B$29,5,IF(AF25/Настройки!$C$11&gt;=Настройки!$B$30,4,IF(AF25/Настройки!$C$11&gt;=Настройки!$B$31,3,2))),"")),IF($B25&lt;&gt;"ТТП",5,IF(AG25="Да",5,4)),IFERROR(VLOOKUP(AH25,Настройки!$A$35:$B$37,2,FALSE()),5),IFERROR(VLOOKUP(AI25,Настройки!$A$41:$B$44,2,FALSE()),5)))</f>
        <v/>
      </c>
      <c r="AK25" s="36" t="str">
        <f aca="false">IF(AJ25="","",MIN(Настройки!$B$11,Настройки!$B$11*VLOOKUP(AJ25,Настройки!$A$16:$B$19,2,FALSE())+IF(AND($B25="ТТМ",AG25="Да"),Настройки!$B$11*Настройки!$A$53,0)))</f>
        <v/>
      </c>
      <c r="AL25" s="34"/>
      <c r="AM25" s="34"/>
      <c r="AN25" s="34"/>
      <c r="AO25" s="35" t="str">
        <f aca="false">IF(OR($A25="",AL25=""),"",MIN(IF($B25="ТТП",IF(AL25/Настройки!$C$57&gt;=Настройки!$B$23,5,IF(AL25/Настройки!$C$57&gt;=Настройки!$B$24,4,IF(AL25/Настройки!$C$57&gt;=Настройки!$B$25,3,2))),IF($B25="ТТМ",IF(AL25/Настройки!$C$57&gt;=Настройки!$B$29,5,IF(AL25/Настройки!$C$57&gt;=Настройки!$B$30,4,IF(AL25/Настройки!$C$57&gt;=Настройки!$B$31,3,2))),"")),IF($B25&lt;&gt;"ТТП",5,IF(AM25="Да",5,4)),IFERROR(VLOOKUP(AN25,Настройки!$A$35:$B$37,2,FALSE()),5)))</f>
        <v/>
      </c>
      <c r="AP25" s="36" t="str">
        <f aca="false">IF(AO25="","",MIN(Настройки!$B$57,Настройки!$B$57*VLOOKUP(AO25,Настройки!$A$16:$B$19,2,FALSE())+IF(AND($B25="ТТМ",AM25="Да"),Настройки!$B$57*Настройки!$A$53,0)))</f>
        <v/>
      </c>
      <c r="AQ25" s="36" t="str">
        <f aca="false">IF($A25="","",SUM(G25,M25,S25,Y25,AE25,AK25)+IF(AP25="",0,AP25))</f>
        <v/>
      </c>
      <c r="AR25" s="37" t="str">
        <f aca="false">IF(AQ25="","",VLOOKUP(AQ25,Настройки!$A$48:$B$51,2,TRUE()))</f>
        <v/>
      </c>
    </row>
    <row r="26" customFormat="false" ht="15" hidden="false" customHeight="true" outlineLevel="0" collapsed="false">
      <c r="A26" s="10"/>
      <c r="B26" s="34"/>
      <c r="C26" s="34"/>
      <c r="D26" s="34"/>
      <c r="E26" s="34"/>
      <c r="F26" s="35" t="str">
        <f aca="false">IF(OR($A26="",C26=""),"",MIN(IF($B26="ТТП",IF(C26/Настройки!$C$6&gt;=Настройки!$B$23,5,IF(C26/Настройки!$C$6&gt;=Настройки!$B$24,4,IF(C26/Настройки!$C$6&gt;=Настройки!$B$25,3,2))),IF($B26="ТТМ",IF(C26/Настройки!$C$6&gt;=Настройки!$B$29,5,IF(C26/Настройки!$C$6&gt;=Настройки!$B$30,4,IF(C26/Настройки!$C$6&gt;=Настройки!$B$31,3,2))),"")),IFERROR(VLOOKUP(D26,Настройки!$A$35:$B$37,2,FALSE()),5),IFERROR(VLOOKUP(E26,Настройки!$A$41:$B$44,2,FALSE()),5)))</f>
        <v/>
      </c>
      <c r="G26" s="36" t="str">
        <f aca="false">IF(F26="","",Настройки!$B$6*VLOOKUP(F26,Настройки!$A$16:$B$19,2,FALSE()))</f>
        <v/>
      </c>
      <c r="H26" s="34"/>
      <c r="I26" s="34"/>
      <c r="J26" s="34"/>
      <c r="K26" s="34"/>
      <c r="L26" s="35" t="str">
        <f aca="false">IF(OR($A26="",H26=""),"",MIN(IF($B26="ТТП",IF(H26/Настройки!$C$7&gt;=Настройки!$B$23,5,IF(H26/Настройки!$C$7&gt;=Настройки!$B$24,4,IF(H26/Настройки!$C$7&gt;=Настройки!$B$25,3,2))),IF($B26="ТТМ",IF(H26/Настройки!$C$7&gt;=Настройки!$B$29,5,IF(H26/Настройки!$C$7&gt;=Настройки!$B$30,4,IF(H26/Настройки!$C$7&gt;=Настройки!$B$31,3,2))),"")),IF($B26&lt;&gt;"ТТП",5,IF(I26="Да",5,4)),IFERROR(VLOOKUP(J26,Настройки!$A$35:$B$37,2,FALSE()),5),IFERROR(VLOOKUP(K26,Настройки!$A$41:$B$44,2,FALSE()),5)))</f>
        <v/>
      </c>
      <c r="M26" s="36" t="str">
        <f aca="false">IF(L26="","",MIN(Настройки!$B$7,Настройки!$B$7*VLOOKUP(L26,Настройки!$A$16:$B$19,2,FALSE())+IF(AND($B26="ТТМ",I26="Да"),Настройки!$B$7*Настройки!$A$53,0)))</f>
        <v/>
      </c>
      <c r="N26" s="34"/>
      <c r="O26" s="34"/>
      <c r="P26" s="34"/>
      <c r="Q26" s="34"/>
      <c r="R26" s="35" t="str">
        <f aca="false">IF(OR($A26="",N26=""),"",MIN(IF($B26="ТТП",IF(N26/Настройки!$C$8&gt;=Настройки!$B$23,5,IF(N26/Настройки!$C$8&gt;=Настройки!$B$24,4,IF(N26/Настройки!$C$8&gt;=Настройки!$B$25,3,2))),IF($B26="ТТМ",IF(N26/Настройки!$C$8&gt;=Настройки!$B$29,5,IF(N26/Настройки!$C$8&gt;=Настройки!$B$30,4,IF(N26/Настройки!$C$8&gt;=Настройки!$B$31,3,2))),"")),IF($B26&lt;&gt;"ТТП",5,IF(O26="Да",5,4)),IFERROR(VLOOKUP(P26,Настройки!$A$35:$B$37,2,FALSE()),5),IFERROR(VLOOKUP(Q26,Настройки!$A$41:$B$44,2,FALSE()),5)))</f>
        <v/>
      </c>
      <c r="S26" s="36" t="str">
        <f aca="false">IF(R26="","",MIN(Настройки!$B$8,Настройки!$B$8*VLOOKUP(R26,Настройки!$A$16:$B$19,2,FALSE())+IF(AND($B26="ТТМ",O26="Да"),Настройки!$B$8*Настройки!$A$53,0)))</f>
        <v/>
      </c>
      <c r="T26" s="34"/>
      <c r="U26" s="34"/>
      <c r="V26" s="34"/>
      <c r="W26" s="34"/>
      <c r="X26" s="35" t="str">
        <f aca="false">IF(OR($A26="",T26=""),"",MIN(IF($B26="ТТП",IF(T26/Настройки!$C$9&gt;=Настройки!$B$23,5,IF(T26/Настройки!$C$9&gt;=Настройки!$B$24,4,IF(T26/Настройки!$C$9&gt;=Настройки!$B$25,3,2))),IF($B26="ТТМ",IF(T26/Настройки!$C$9&gt;=Настройки!$B$29,5,IF(T26/Настройки!$C$9&gt;=Настройки!$B$30,4,IF(T26/Настройки!$C$9&gt;=Настройки!$B$31,3,2))),"")),IF($B26&lt;&gt;"ТТП",5,IF(U26="Да",5,4)),IFERROR(VLOOKUP(V26,Настройки!$A$35:$B$37,2,FALSE()),5),IFERROR(VLOOKUP(W26,Настройки!$A$41:$B$44,2,FALSE()),5)))</f>
        <v/>
      </c>
      <c r="Y26" s="36" t="str">
        <f aca="false">IF(X26="","",MIN(Настройки!$B$9,Настройки!$B$9*VLOOKUP(X26,Настройки!$A$16:$B$19,2,FALSE())+IF(AND($B26="ТТМ",U26="Да"),Настройки!$B$9*Настройки!$A$53,0)))</f>
        <v/>
      </c>
      <c r="Z26" s="34"/>
      <c r="AA26" s="34"/>
      <c r="AB26" s="34"/>
      <c r="AC26" s="34"/>
      <c r="AD26" s="35" t="str">
        <f aca="false">IF(OR($A26="",Z26=""),"",MIN(IF($B26="ТТП",IF(Z26/Настройки!$C$10&gt;=Настройки!$B$23,5,IF(Z26/Настройки!$C$10&gt;=Настройки!$B$24,4,IF(Z26/Настройки!$C$10&gt;=Настройки!$B$25,3,2))),IF($B26="ТТМ",IF(Z26/Настройки!$C$10&gt;=Настройки!$B$29,5,IF(Z26/Настройки!$C$10&gt;=Настройки!$B$30,4,IF(Z26/Настройки!$C$10&gt;=Настройки!$B$31,3,2))),"")),IF($B26&lt;&gt;"ТТП",5,IF(AA26="Да",5,4)),IFERROR(VLOOKUP(AB26,Настройки!$A$35:$B$37,2,FALSE()),5),IFERROR(VLOOKUP(AC26,Настройки!$A$41:$B$44,2,FALSE()),5)))</f>
        <v/>
      </c>
      <c r="AE26" s="36" t="str">
        <f aca="false">IF(AD26="","",MIN(Настройки!$B$10,Настройки!$B$10*VLOOKUP(AD26,Настройки!$A$16:$B$19,2,FALSE())+IF(AND($B26="ТТМ",AA26="Да"),Настройки!$B$10*Настройки!$A$53,0)))</f>
        <v/>
      </c>
      <c r="AF26" s="34"/>
      <c r="AG26" s="34"/>
      <c r="AH26" s="34"/>
      <c r="AI26" s="34"/>
      <c r="AJ26" s="35" t="str">
        <f aca="false">IF(OR($A26="",AF26=""),"",MIN(IF($B26="ТТП",IF(AF26/Настройки!$C$11&gt;=Настройки!$B$23,5,IF(AF26/Настройки!$C$11&gt;=Настройки!$B$24,4,IF(AF26/Настройки!$C$11&gt;=Настройки!$B$25,3,2))),IF($B26="ТТМ",IF(AF26/Настройки!$C$11&gt;=Настройки!$B$29,5,IF(AF26/Настройки!$C$11&gt;=Настройки!$B$30,4,IF(AF26/Настройки!$C$11&gt;=Настройки!$B$31,3,2))),"")),IF($B26&lt;&gt;"ТТП",5,IF(AG26="Да",5,4)),IFERROR(VLOOKUP(AH26,Настройки!$A$35:$B$37,2,FALSE()),5),IFERROR(VLOOKUP(AI26,Настройки!$A$41:$B$44,2,FALSE()),5)))</f>
        <v/>
      </c>
      <c r="AK26" s="36" t="str">
        <f aca="false">IF(AJ26="","",MIN(Настройки!$B$11,Настройки!$B$11*VLOOKUP(AJ26,Настройки!$A$16:$B$19,2,FALSE())+IF(AND($B26="ТТМ",AG26="Да"),Настройки!$B$11*Настройки!$A$53,0)))</f>
        <v/>
      </c>
      <c r="AL26" s="34"/>
      <c r="AM26" s="34"/>
      <c r="AN26" s="34"/>
      <c r="AO26" s="35" t="str">
        <f aca="false">IF(OR($A26="",AL26=""),"",MIN(IF($B26="ТТП",IF(AL26/Настройки!$C$57&gt;=Настройки!$B$23,5,IF(AL26/Настройки!$C$57&gt;=Настройки!$B$24,4,IF(AL26/Настройки!$C$57&gt;=Настройки!$B$25,3,2))),IF($B26="ТТМ",IF(AL26/Настройки!$C$57&gt;=Настройки!$B$29,5,IF(AL26/Настройки!$C$57&gt;=Настройки!$B$30,4,IF(AL26/Настройки!$C$57&gt;=Настройки!$B$31,3,2))),"")),IF($B26&lt;&gt;"ТТП",5,IF(AM26="Да",5,4)),IFERROR(VLOOKUP(AN26,Настройки!$A$35:$B$37,2,FALSE()),5)))</f>
        <v/>
      </c>
      <c r="AP26" s="36" t="str">
        <f aca="false">IF(AO26="","",MIN(Настройки!$B$57,Настройки!$B$57*VLOOKUP(AO26,Настройки!$A$16:$B$19,2,FALSE())+IF(AND($B26="ТТМ",AM26="Да"),Настройки!$B$57*Настройки!$A$53,0)))</f>
        <v/>
      </c>
      <c r="AQ26" s="36" t="str">
        <f aca="false">IF($A26="","",SUM(G26,M26,S26,Y26,AE26,AK26)+IF(AP26="",0,AP26))</f>
        <v/>
      </c>
      <c r="AR26" s="37" t="str">
        <f aca="false">IF(AQ26="","",VLOOKUP(AQ26,Настройки!$A$48:$B$51,2,TRUE()))</f>
        <v/>
      </c>
    </row>
    <row r="27" customFormat="false" ht="15" hidden="false" customHeight="true" outlineLevel="0" collapsed="false">
      <c r="A27" s="10"/>
      <c r="B27" s="34"/>
      <c r="C27" s="34"/>
      <c r="D27" s="34"/>
      <c r="E27" s="34"/>
      <c r="F27" s="35" t="str">
        <f aca="false">IF(OR($A27="",C27=""),"",MIN(IF($B27="ТТП",IF(C27/Настройки!$C$6&gt;=Настройки!$B$23,5,IF(C27/Настройки!$C$6&gt;=Настройки!$B$24,4,IF(C27/Настройки!$C$6&gt;=Настройки!$B$25,3,2))),IF($B27="ТТМ",IF(C27/Настройки!$C$6&gt;=Настройки!$B$29,5,IF(C27/Настройки!$C$6&gt;=Настройки!$B$30,4,IF(C27/Настройки!$C$6&gt;=Настройки!$B$31,3,2))),"")),IFERROR(VLOOKUP(D27,Настройки!$A$35:$B$37,2,FALSE()),5),IFERROR(VLOOKUP(E27,Настройки!$A$41:$B$44,2,FALSE()),5)))</f>
        <v/>
      </c>
      <c r="G27" s="36" t="str">
        <f aca="false">IF(F27="","",Настройки!$B$6*VLOOKUP(F27,Настройки!$A$16:$B$19,2,FALSE()))</f>
        <v/>
      </c>
      <c r="H27" s="34"/>
      <c r="I27" s="34"/>
      <c r="J27" s="34"/>
      <c r="K27" s="34"/>
      <c r="L27" s="35" t="str">
        <f aca="false">IF(OR($A27="",H27=""),"",MIN(IF($B27="ТТП",IF(H27/Настройки!$C$7&gt;=Настройки!$B$23,5,IF(H27/Настройки!$C$7&gt;=Настройки!$B$24,4,IF(H27/Настройки!$C$7&gt;=Настройки!$B$25,3,2))),IF($B27="ТТМ",IF(H27/Настройки!$C$7&gt;=Настройки!$B$29,5,IF(H27/Настройки!$C$7&gt;=Настройки!$B$30,4,IF(H27/Настройки!$C$7&gt;=Настройки!$B$31,3,2))),"")),IF($B27&lt;&gt;"ТТП",5,IF(I27="Да",5,4)),IFERROR(VLOOKUP(J27,Настройки!$A$35:$B$37,2,FALSE()),5),IFERROR(VLOOKUP(K27,Настройки!$A$41:$B$44,2,FALSE()),5)))</f>
        <v/>
      </c>
      <c r="M27" s="36" t="str">
        <f aca="false">IF(L27="","",MIN(Настройки!$B$7,Настройки!$B$7*VLOOKUP(L27,Настройки!$A$16:$B$19,2,FALSE())+IF(AND($B27="ТТМ",I27="Да"),Настройки!$B$7*Настройки!$A$53,0)))</f>
        <v/>
      </c>
      <c r="N27" s="34"/>
      <c r="O27" s="34"/>
      <c r="P27" s="34"/>
      <c r="Q27" s="34"/>
      <c r="R27" s="35" t="str">
        <f aca="false">IF(OR($A27="",N27=""),"",MIN(IF($B27="ТТП",IF(N27/Настройки!$C$8&gt;=Настройки!$B$23,5,IF(N27/Настройки!$C$8&gt;=Настройки!$B$24,4,IF(N27/Настройки!$C$8&gt;=Настройки!$B$25,3,2))),IF($B27="ТТМ",IF(N27/Настройки!$C$8&gt;=Настройки!$B$29,5,IF(N27/Настройки!$C$8&gt;=Настройки!$B$30,4,IF(N27/Настройки!$C$8&gt;=Настройки!$B$31,3,2))),"")),IF($B27&lt;&gt;"ТТП",5,IF(O27="Да",5,4)),IFERROR(VLOOKUP(P27,Настройки!$A$35:$B$37,2,FALSE()),5),IFERROR(VLOOKUP(Q27,Настройки!$A$41:$B$44,2,FALSE()),5)))</f>
        <v/>
      </c>
      <c r="S27" s="36" t="str">
        <f aca="false">IF(R27="","",MIN(Настройки!$B$8,Настройки!$B$8*VLOOKUP(R27,Настройки!$A$16:$B$19,2,FALSE())+IF(AND($B27="ТТМ",O27="Да"),Настройки!$B$8*Настройки!$A$53,0)))</f>
        <v/>
      </c>
      <c r="T27" s="34"/>
      <c r="U27" s="34"/>
      <c r="V27" s="34"/>
      <c r="W27" s="34"/>
      <c r="X27" s="35" t="str">
        <f aca="false">IF(OR($A27="",T27=""),"",MIN(IF($B27="ТТП",IF(T27/Настройки!$C$9&gt;=Настройки!$B$23,5,IF(T27/Настройки!$C$9&gt;=Настройки!$B$24,4,IF(T27/Настройки!$C$9&gt;=Настройки!$B$25,3,2))),IF($B27="ТТМ",IF(T27/Настройки!$C$9&gt;=Настройки!$B$29,5,IF(T27/Настройки!$C$9&gt;=Настройки!$B$30,4,IF(T27/Настройки!$C$9&gt;=Настройки!$B$31,3,2))),"")),IF($B27&lt;&gt;"ТТП",5,IF(U27="Да",5,4)),IFERROR(VLOOKUP(V27,Настройки!$A$35:$B$37,2,FALSE()),5),IFERROR(VLOOKUP(W27,Настройки!$A$41:$B$44,2,FALSE()),5)))</f>
        <v/>
      </c>
      <c r="Y27" s="36" t="str">
        <f aca="false">IF(X27="","",MIN(Настройки!$B$9,Настройки!$B$9*VLOOKUP(X27,Настройки!$A$16:$B$19,2,FALSE())+IF(AND($B27="ТТМ",U27="Да"),Настройки!$B$9*Настройки!$A$53,0)))</f>
        <v/>
      </c>
      <c r="Z27" s="34"/>
      <c r="AA27" s="34"/>
      <c r="AB27" s="34"/>
      <c r="AC27" s="34"/>
      <c r="AD27" s="35" t="str">
        <f aca="false">IF(OR($A27="",Z27=""),"",MIN(IF($B27="ТТП",IF(Z27/Настройки!$C$10&gt;=Настройки!$B$23,5,IF(Z27/Настройки!$C$10&gt;=Настройки!$B$24,4,IF(Z27/Настройки!$C$10&gt;=Настройки!$B$25,3,2))),IF($B27="ТТМ",IF(Z27/Настройки!$C$10&gt;=Настройки!$B$29,5,IF(Z27/Настройки!$C$10&gt;=Настройки!$B$30,4,IF(Z27/Настройки!$C$10&gt;=Настройки!$B$31,3,2))),"")),IF($B27&lt;&gt;"ТТП",5,IF(AA27="Да",5,4)),IFERROR(VLOOKUP(AB27,Настройки!$A$35:$B$37,2,FALSE()),5),IFERROR(VLOOKUP(AC27,Настройки!$A$41:$B$44,2,FALSE()),5)))</f>
        <v/>
      </c>
      <c r="AE27" s="36" t="str">
        <f aca="false">IF(AD27="","",MIN(Настройки!$B$10,Настройки!$B$10*VLOOKUP(AD27,Настройки!$A$16:$B$19,2,FALSE())+IF(AND($B27="ТТМ",AA27="Да"),Настройки!$B$10*Настройки!$A$53,0)))</f>
        <v/>
      </c>
      <c r="AF27" s="34"/>
      <c r="AG27" s="34"/>
      <c r="AH27" s="34"/>
      <c r="AI27" s="34"/>
      <c r="AJ27" s="35" t="str">
        <f aca="false">IF(OR($A27="",AF27=""),"",MIN(IF($B27="ТТП",IF(AF27/Настройки!$C$11&gt;=Настройки!$B$23,5,IF(AF27/Настройки!$C$11&gt;=Настройки!$B$24,4,IF(AF27/Настройки!$C$11&gt;=Настройки!$B$25,3,2))),IF($B27="ТТМ",IF(AF27/Настройки!$C$11&gt;=Настройки!$B$29,5,IF(AF27/Настройки!$C$11&gt;=Настройки!$B$30,4,IF(AF27/Настройки!$C$11&gt;=Настройки!$B$31,3,2))),"")),IF($B27&lt;&gt;"ТТП",5,IF(AG27="Да",5,4)),IFERROR(VLOOKUP(AH27,Настройки!$A$35:$B$37,2,FALSE()),5),IFERROR(VLOOKUP(AI27,Настройки!$A$41:$B$44,2,FALSE()),5)))</f>
        <v/>
      </c>
      <c r="AK27" s="36" t="str">
        <f aca="false">IF(AJ27="","",MIN(Настройки!$B$11,Настройки!$B$11*VLOOKUP(AJ27,Настройки!$A$16:$B$19,2,FALSE())+IF(AND($B27="ТТМ",AG27="Да"),Настройки!$B$11*Настройки!$A$53,0)))</f>
        <v/>
      </c>
      <c r="AL27" s="34"/>
      <c r="AM27" s="34"/>
      <c r="AN27" s="34"/>
      <c r="AO27" s="35" t="str">
        <f aca="false">IF(OR($A27="",AL27=""),"",MIN(IF($B27="ТТП",IF(AL27/Настройки!$C$57&gt;=Настройки!$B$23,5,IF(AL27/Настройки!$C$57&gt;=Настройки!$B$24,4,IF(AL27/Настройки!$C$57&gt;=Настройки!$B$25,3,2))),IF($B27="ТТМ",IF(AL27/Настройки!$C$57&gt;=Настройки!$B$29,5,IF(AL27/Настройки!$C$57&gt;=Настройки!$B$30,4,IF(AL27/Настройки!$C$57&gt;=Настройки!$B$31,3,2))),"")),IF($B27&lt;&gt;"ТТП",5,IF(AM27="Да",5,4)),IFERROR(VLOOKUP(AN27,Настройки!$A$35:$B$37,2,FALSE()),5)))</f>
        <v/>
      </c>
      <c r="AP27" s="36" t="str">
        <f aca="false">IF(AO27="","",MIN(Настройки!$B$57,Настройки!$B$57*VLOOKUP(AO27,Настройки!$A$16:$B$19,2,FALSE())+IF(AND($B27="ТТМ",AM27="Да"),Настройки!$B$57*Настройки!$A$53,0)))</f>
        <v/>
      </c>
      <c r="AQ27" s="36" t="str">
        <f aca="false">IF($A27="","",SUM(G27,M27,S27,Y27,AE27,AK27)+IF(AP27="",0,AP27))</f>
        <v/>
      </c>
      <c r="AR27" s="37" t="str">
        <f aca="false">IF(AQ27="","",VLOOKUP(AQ27,Настройки!$A$48:$B$51,2,TRUE()))</f>
        <v/>
      </c>
    </row>
    <row r="28" customFormat="false" ht="15" hidden="false" customHeight="true" outlineLevel="0" collapsed="false">
      <c r="A28" s="10"/>
      <c r="B28" s="34"/>
      <c r="C28" s="34"/>
      <c r="D28" s="34"/>
      <c r="E28" s="34"/>
      <c r="F28" s="35" t="str">
        <f aca="false">IF(OR($A28="",C28=""),"",MIN(IF($B28="ТТП",IF(C28/Настройки!$C$6&gt;=Настройки!$B$23,5,IF(C28/Настройки!$C$6&gt;=Настройки!$B$24,4,IF(C28/Настройки!$C$6&gt;=Настройки!$B$25,3,2))),IF($B28="ТТМ",IF(C28/Настройки!$C$6&gt;=Настройки!$B$29,5,IF(C28/Настройки!$C$6&gt;=Настройки!$B$30,4,IF(C28/Настройки!$C$6&gt;=Настройки!$B$31,3,2))),"")),IFERROR(VLOOKUP(D28,Настройки!$A$35:$B$37,2,FALSE()),5),IFERROR(VLOOKUP(E28,Настройки!$A$41:$B$44,2,FALSE()),5)))</f>
        <v/>
      </c>
      <c r="G28" s="36" t="str">
        <f aca="false">IF(F28="","",Настройки!$B$6*VLOOKUP(F28,Настройки!$A$16:$B$19,2,FALSE()))</f>
        <v/>
      </c>
      <c r="H28" s="34"/>
      <c r="I28" s="34"/>
      <c r="J28" s="34"/>
      <c r="K28" s="34"/>
      <c r="L28" s="35" t="str">
        <f aca="false">IF(OR($A28="",H28=""),"",MIN(IF($B28="ТТП",IF(H28/Настройки!$C$7&gt;=Настройки!$B$23,5,IF(H28/Настройки!$C$7&gt;=Настройки!$B$24,4,IF(H28/Настройки!$C$7&gt;=Настройки!$B$25,3,2))),IF($B28="ТТМ",IF(H28/Настройки!$C$7&gt;=Настройки!$B$29,5,IF(H28/Настройки!$C$7&gt;=Настройки!$B$30,4,IF(H28/Настройки!$C$7&gt;=Настройки!$B$31,3,2))),"")),IF($B28&lt;&gt;"ТТП",5,IF(I28="Да",5,4)),IFERROR(VLOOKUP(J28,Настройки!$A$35:$B$37,2,FALSE()),5),IFERROR(VLOOKUP(K28,Настройки!$A$41:$B$44,2,FALSE()),5)))</f>
        <v/>
      </c>
      <c r="M28" s="36" t="str">
        <f aca="false">IF(L28="","",MIN(Настройки!$B$7,Настройки!$B$7*VLOOKUP(L28,Настройки!$A$16:$B$19,2,FALSE())+IF(AND($B28="ТТМ",I28="Да"),Настройки!$B$7*Настройки!$A$53,0)))</f>
        <v/>
      </c>
      <c r="N28" s="34"/>
      <c r="O28" s="34"/>
      <c r="P28" s="34"/>
      <c r="Q28" s="34"/>
      <c r="R28" s="35" t="str">
        <f aca="false">IF(OR($A28="",N28=""),"",MIN(IF($B28="ТТП",IF(N28/Настройки!$C$8&gt;=Настройки!$B$23,5,IF(N28/Настройки!$C$8&gt;=Настройки!$B$24,4,IF(N28/Настройки!$C$8&gt;=Настройки!$B$25,3,2))),IF($B28="ТТМ",IF(N28/Настройки!$C$8&gt;=Настройки!$B$29,5,IF(N28/Настройки!$C$8&gt;=Настройки!$B$30,4,IF(N28/Настройки!$C$8&gt;=Настройки!$B$31,3,2))),"")),IF($B28&lt;&gt;"ТТП",5,IF(O28="Да",5,4)),IFERROR(VLOOKUP(P28,Настройки!$A$35:$B$37,2,FALSE()),5),IFERROR(VLOOKUP(Q28,Настройки!$A$41:$B$44,2,FALSE()),5)))</f>
        <v/>
      </c>
      <c r="S28" s="36" t="str">
        <f aca="false">IF(R28="","",MIN(Настройки!$B$8,Настройки!$B$8*VLOOKUP(R28,Настройки!$A$16:$B$19,2,FALSE())+IF(AND($B28="ТТМ",O28="Да"),Настройки!$B$8*Настройки!$A$53,0)))</f>
        <v/>
      </c>
      <c r="T28" s="34"/>
      <c r="U28" s="34"/>
      <c r="V28" s="34"/>
      <c r="W28" s="34"/>
      <c r="X28" s="35" t="str">
        <f aca="false">IF(OR($A28="",T28=""),"",MIN(IF($B28="ТТП",IF(T28/Настройки!$C$9&gt;=Настройки!$B$23,5,IF(T28/Настройки!$C$9&gt;=Настройки!$B$24,4,IF(T28/Настройки!$C$9&gt;=Настройки!$B$25,3,2))),IF($B28="ТТМ",IF(T28/Настройки!$C$9&gt;=Настройки!$B$29,5,IF(T28/Настройки!$C$9&gt;=Настройки!$B$30,4,IF(T28/Настройки!$C$9&gt;=Настройки!$B$31,3,2))),"")),IF($B28&lt;&gt;"ТТП",5,IF(U28="Да",5,4)),IFERROR(VLOOKUP(V28,Настройки!$A$35:$B$37,2,FALSE()),5),IFERROR(VLOOKUP(W28,Настройки!$A$41:$B$44,2,FALSE()),5)))</f>
        <v/>
      </c>
      <c r="Y28" s="36" t="str">
        <f aca="false">IF(X28="","",MIN(Настройки!$B$9,Настройки!$B$9*VLOOKUP(X28,Настройки!$A$16:$B$19,2,FALSE())+IF(AND($B28="ТТМ",U28="Да"),Настройки!$B$9*Настройки!$A$53,0)))</f>
        <v/>
      </c>
      <c r="Z28" s="34"/>
      <c r="AA28" s="34"/>
      <c r="AB28" s="34"/>
      <c r="AC28" s="34"/>
      <c r="AD28" s="35" t="str">
        <f aca="false">IF(OR($A28="",Z28=""),"",MIN(IF($B28="ТТП",IF(Z28/Настройки!$C$10&gt;=Настройки!$B$23,5,IF(Z28/Настройки!$C$10&gt;=Настройки!$B$24,4,IF(Z28/Настройки!$C$10&gt;=Настройки!$B$25,3,2))),IF($B28="ТТМ",IF(Z28/Настройки!$C$10&gt;=Настройки!$B$29,5,IF(Z28/Настройки!$C$10&gt;=Настройки!$B$30,4,IF(Z28/Настройки!$C$10&gt;=Настройки!$B$31,3,2))),"")),IF($B28&lt;&gt;"ТТП",5,IF(AA28="Да",5,4)),IFERROR(VLOOKUP(AB28,Настройки!$A$35:$B$37,2,FALSE()),5),IFERROR(VLOOKUP(AC28,Настройки!$A$41:$B$44,2,FALSE()),5)))</f>
        <v/>
      </c>
      <c r="AE28" s="36" t="str">
        <f aca="false">IF(AD28="","",MIN(Настройки!$B$10,Настройки!$B$10*VLOOKUP(AD28,Настройки!$A$16:$B$19,2,FALSE())+IF(AND($B28="ТТМ",AA28="Да"),Настройки!$B$10*Настройки!$A$53,0)))</f>
        <v/>
      </c>
      <c r="AF28" s="34"/>
      <c r="AG28" s="34"/>
      <c r="AH28" s="34"/>
      <c r="AI28" s="34"/>
      <c r="AJ28" s="35" t="str">
        <f aca="false">IF(OR($A28="",AF28=""),"",MIN(IF($B28="ТТП",IF(AF28/Настройки!$C$11&gt;=Настройки!$B$23,5,IF(AF28/Настройки!$C$11&gt;=Настройки!$B$24,4,IF(AF28/Настройки!$C$11&gt;=Настройки!$B$25,3,2))),IF($B28="ТТМ",IF(AF28/Настройки!$C$11&gt;=Настройки!$B$29,5,IF(AF28/Настройки!$C$11&gt;=Настройки!$B$30,4,IF(AF28/Настройки!$C$11&gt;=Настройки!$B$31,3,2))),"")),IF($B28&lt;&gt;"ТТП",5,IF(AG28="Да",5,4)),IFERROR(VLOOKUP(AH28,Настройки!$A$35:$B$37,2,FALSE()),5),IFERROR(VLOOKUP(AI28,Настройки!$A$41:$B$44,2,FALSE()),5)))</f>
        <v/>
      </c>
      <c r="AK28" s="36" t="str">
        <f aca="false">IF(AJ28="","",MIN(Настройки!$B$11,Настройки!$B$11*VLOOKUP(AJ28,Настройки!$A$16:$B$19,2,FALSE())+IF(AND($B28="ТТМ",AG28="Да"),Настройки!$B$11*Настройки!$A$53,0)))</f>
        <v/>
      </c>
      <c r="AL28" s="34"/>
      <c r="AM28" s="34"/>
      <c r="AN28" s="34"/>
      <c r="AO28" s="35" t="str">
        <f aca="false">IF(OR($A28="",AL28=""),"",MIN(IF($B28="ТТП",IF(AL28/Настройки!$C$57&gt;=Настройки!$B$23,5,IF(AL28/Настройки!$C$57&gt;=Настройки!$B$24,4,IF(AL28/Настройки!$C$57&gt;=Настройки!$B$25,3,2))),IF($B28="ТТМ",IF(AL28/Настройки!$C$57&gt;=Настройки!$B$29,5,IF(AL28/Настройки!$C$57&gt;=Настройки!$B$30,4,IF(AL28/Настройки!$C$57&gt;=Настройки!$B$31,3,2))),"")),IF($B28&lt;&gt;"ТТП",5,IF(AM28="Да",5,4)),IFERROR(VLOOKUP(AN28,Настройки!$A$35:$B$37,2,FALSE()),5)))</f>
        <v/>
      </c>
      <c r="AP28" s="36" t="str">
        <f aca="false">IF(AO28="","",MIN(Настройки!$B$57,Настройки!$B$57*VLOOKUP(AO28,Настройки!$A$16:$B$19,2,FALSE())+IF(AND($B28="ТТМ",AM28="Да"),Настройки!$B$57*Настройки!$A$53,0)))</f>
        <v/>
      </c>
      <c r="AQ28" s="36" t="str">
        <f aca="false">IF($A28="","",SUM(G28,M28,S28,Y28,AE28,AK28)+IF(AP28="",0,AP28))</f>
        <v/>
      </c>
      <c r="AR28" s="37" t="str">
        <f aca="false">IF(AQ28="","",VLOOKUP(AQ28,Настройки!$A$48:$B$51,2,TRUE()))</f>
        <v/>
      </c>
    </row>
    <row r="29" customFormat="false" ht="15" hidden="false" customHeight="true" outlineLevel="0" collapsed="false">
      <c r="A29" s="10"/>
      <c r="B29" s="34"/>
      <c r="C29" s="34"/>
      <c r="D29" s="34"/>
      <c r="E29" s="34"/>
      <c r="F29" s="35" t="str">
        <f aca="false">IF(OR($A29="",C29=""),"",MIN(IF($B29="ТТП",IF(C29/Настройки!$C$6&gt;=Настройки!$B$23,5,IF(C29/Настройки!$C$6&gt;=Настройки!$B$24,4,IF(C29/Настройки!$C$6&gt;=Настройки!$B$25,3,2))),IF($B29="ТТМ",IF(C29/Настройки!$C$6&gt;=Настройки!$B$29,5,IF(C29/Настройки!$C$6&gt;=Настройки!$B$30,4,IF(C29/Настройки!$C$6&gt;=Настройки!$B$31,3,2))),"")),IFERROR(VLOOKUP(D29,Настройки!$A$35:$B$37,2,FALSE()),5),IFERROR(VLOOKUP(E29,Настройки!$A$41:$B$44,2,FALSE()),5)))</f>
        <v/>
      </c>
      <c r="G29" s="36" t="str">
        <f aca="false">IF(F29="","",Настройки!$B$6*VLOOKUP(F29,Настройки!$A$16:$B$19,2,FALSE()))</f>
        <v/>
      </c>
      <c r="H29" s="34"/>
      <c r="I29" s="34"/>
      <c r="J29" s="34"/>
      <c r="K29" s="34"/>
      <c r="L29" s="35" t="str">
        <f aca="false">IF(OR($A29="",H29=""),"",MIN(IF($B29="ТТП",IF(H29/Настройки!$C$7&gt;=Настройки!$B$23,5,IF(H29/Настройки!$C$7&gt;=Настройки!$B$24,4,IF(H29/Настройки!$C$7&gt;=Настройки!$B$25,3,2))),IF($B29="ТТМ",IF(H29/Настройки!$C$7&gt;=Настройки!$B$29,5,IF(H29/Настройки!$C$7&gt;=Настройки!$B$30,4,IF(H29/Настройки!$C$7&gt;=Настройки!$B$31,3,2))),"")),IF($B29&lt;&gt;"ТТП",5,IF(I29="Да",5,4)),IFERROR(VLOOKUP(J29,Настройки!$A$35:$B$37,2,FALSE()),5),IFERROR(VLOOKUP(K29,Настройки!$A$41:$B$44,2,FALSE()),5)))</f>
        <v/>
      </c>
      <c r="M29" s="36" t="str">
        <f aca="false">IF(L29="","",MIN(Настройки!$B$7,Настройки!$B$7*VLOOKUP(L29,Настройки!$A$16:$B$19,2,FALSE())+IF(AND($B29="ТТМ",I29="Да"),Настройки!$B$7*Настройки!$A$53,0)))</f>
        <v/>
      </c>
      <c r="N29" s="34"/>
      <c r="O29" s="34"/>
      <c r="P29" s="34"/>
      <c r="Q29" s="34"/>
      <c r="R29" s="35" t="str">
        <f aca="false">IF(OR($A29="",N29=""),"",MIN(IF($B29="ТТП",IF(N29/Настройки!$C$8&gt;=Настройки!$B$23,5,IF(N29/Настройки!$C$8&gt;=Настройки!$B$24,4,IF(N29/Настройки!$C$8&gt;=Настройки!$B$25,3,2))),IF($B29="ТТМ",IF(N29/Настройки!$C$8&gt;=Настройки!$B$29,5,IF(N29/Настройки!$C$8&gt;=Настройки!$B$30,4,IF(N29/Настройки!$C$8&gt;=Настройки!$B$31,3,2))),"")),IF($B29&lt;&gt;"ТТП",5,IF(O29="Да",5,4)),IFERROR(VLOOKUP(P29,Настройки!$A$35:$B$37,2,FALSE()),5),IFERROR(VLOOKUP(Q29,Настройки!$A$41:$B$44,2,FALSE()),5)))</f>
        <v/>
      </c>
      <c r="S29" s="36" t="str">
        <f aca="false">IF(R29="","",MIN(Настройки!$B$8,Настройки!$B$8*VLOOKUP(R29,Настройки!$A$16:$B$19,2,FALSE())+IF(AND($B29="ТТМ",O29="Да"),Настройки!$B$8*Настройки!$A$53,0)))</f>
        <v/>
      </c>
      <c r="T29" s="34"/>
      <c r="U29" s="34"/>
      <c r="V29" s="34"/>
      <c r="W29" s="34"/>
      <c r="X29" s="35" t="str">
        <f aca="false">IF(OR($A29="",T29=""),"",MIN(IF($B29="ТТП",IF(T29/Настройки!$C$9&gt;=Настройки!$B$23,5,IF(T29/Настройки!$C$9&gt;=Настройки!$B$24,4,IF(T29/Настройки!$C$9&gt;=Настройки!$B$25,3,2))),IF($B29="ТТМ",IF(T29/Настройки!$C$9&gt;=Настройки!$B$29,5,IF(T29/Настройки!$C$9&gt;=Настройки!$B$30,4,IF(T29/Настройки!$C$9&gt;=Настройки!$B$31,3,2))),"")),IF($B29&lt;&gt;"ТТП",5,IF(U29="Да",5,4)),IFERROR(VLOOKUP(V29,Настройки!$A$35:$B$37,2,FALSE()),5),IFERROR(VLOOKUP(W29,Настройки!$A$41:$B$44,2,FALSE()),5)))</f>
        <v/>
      </c>
      <c r="Y29" s="36" t="str">
        <f aca="false">IF(X29="","",MIN(Настройки!$B$9,Настройки!$B$9*VLOOKUP(X29,Настройки!$A$16:$B$19,2,FALSE())+IF(AND($B29="ТТМ",U29="Да"),Настройки!$B$9*Настройки!$A$53,0)))</f>
        <v/>
      </c>
      <c r="Z29" s="34"/>
      <c r="AA29" s="34"/>
      <c r="AB29" s="34"/>
      <c r="AC29" s="34"/>
      <c r="AD29" s="35" t="str">
        <f aca="false">IF(OR($A29="",Z29=""),"",MIN(IF($B29="ТТП",IF(Z29/Настройки!$C$10&gt;=Настройки!$B$23,5,IF(Z29/Настройки!$C$10&gt;=Настройки!$B$24,4,IF(Z29/Настройки!$C$10&gt;=Настройки!$B$25,3,2))),IF($B29="ТТМ",IF(Z29/Настройки!$C$10&gt;=Настройки!$B$29,5,IF(Z29/Настройки!$C$10&gt;=Настройки!$B$30,4,IF(Z29/Настройки!$C$10&gt;=Настройки!$B$31,3,2))),"")),IF($B29&lt;&gt;"ТТП",5,IF(AA29="Да",5,4)),IFERROR(VLOOKUP(AB29,Настройки!$A$35:$B$37,2,FALSE()),5),IFERROR(VLOOKUP(AC29,Настройки!$A$41:$B$44,2,FALSE()),5)))</f>
        <v/>
      </c>
      <c r="AE29" s="36" t="str">
        <f aca="false">IF(AD29="","",MIN(Настройки!$B$10,Настройки!$B$10*VLOOKUP(AD29,Настройки!$A$16:$B$19,2,FALSE())+IF(AND($B29="ТТМ",AA29="Да"),Настройки!$B$10*Настройки!$A$53,0)))</f>
        <v/>
      </c>
      <c r="AF29" s="34"/>
      <c r="AG29" s="34"/>
      <c r="AH29" s="34"/>
      <c r="AI29" s="34"/>
      <c r="AJ29" s="35" t="str">
        <f aca="false">IF(OR($A29="",AF29=""),"",MIN(IF($B29="ТТП",IF(AF29/Настройки!$C$11&gt;=Настройки!$B$23,5,IF(AF29/Настройки!$C$11&gt;=Настройки!$B$24,4,IF(AF29/Настройки!$C$11&gt;=Настройки!$B$25,3,2))),IF($B29="ТТМ",IF(AF29/Настройки!$C$11&gt;=Настройки!$B$29,5,IF(AF29/Настройки!$C$11&gt;=Настройки!$B$30,4,IF(AF29/Настройки!$C$11&gt;=Настройки!$B$31,3,2))),"")),IF($B29&lt;&gt;"ТТП",5,IF(AG29="Да",5,4)),IFERROR(VLOOKUP(AH29,Настройки!$A$35:$B$37,2,FALSE()),5),IFERROR(VLOOKUP(AI29,Настройки!$A$41:$B$44,2,FALSE()),5)))</f>
        <v/>
      </c>
      <c r="AK29" s="36" t="str">
        <f aca="false">IF(AJ29="","",MIN(Настройки!$B$11,Настройки!$B$11*VLOOKUP(AJ29,Настройки!$A$16:$B$19,2,FALSE())+IF(AND($B29="ТТМ",AG29="Да"),Настройки!$B$11*Настройки!$A$53,0)))</f>
        <v/>
      </c>
      <c r="AL29" s="34"/>
      <c r="AM29" s="34"/>
      <c r="AN29" s="34"/>
      <c r="AO29" s="35" t="str">
        <f aca="false">IF(OR($A29="",AL29=""),"",MIN(IF($B29="ТТП",IF(AL29/Настройки!$C$57&gt;=Настройки!$B$23,5,IF(AL29/Настройки!$C$57&gt;=Настройки!$B$24,4,IF(AL29/Настройки!$C$57&gt;=Настройки!$B$25,3,2))),IF($B29="ТТМ",IF(AL29/Настройки!$C$57&gt;=Настройки!$B$29,5,IF(AL29/Настройки!$C$57&gt;=Настройки!$B$30,4,IF(AL29/Настройки!$C$57&gt;=Настройки!$B$31,3,2))),"")),IF($B29&lt;&gt;"ТТП",5,IF(AM29="Да",5,4)),IFERROR(VLOOKUP(AN29,Настройки!$A$35:$B$37,2,FALSE()),5)))</f>
        <v/>
      </c>
      <c r="AP29" s="36" t="str">
        <f aca="false">IF(AO29="","",MIN(Настройки!$B$57,Настройки!$B$57*VLOOKUP(AO29,Настройки!$A$16:$B$19,2,FALSE())+IF(AND($B29="ТТМ",AM29="Да"),Настройки!$B$57*Настройки!$A$53,0)))</f>
        <v/>
      </c>
      <c r="AQ29" s="36" t="str">
        <f aca="false">IF($A29="","",SUM(G29,M29,S29,Y29,AE29,AK29)+IF(AP29="",0,AP29))</f>
        <v/>
      </c>
      <c r="AR29" s="37" t="str">
        <f aca="false">IF(AQ29="","",VLOOKUP(AQ29,Настройки!$A$48:$B$51,2,TRUE()))</f>
        <v/>
      </c>
    </row>
    <row r="30" customFormat="false" ht="15" hidden="false" customHeight="true" outlineLevel="0" collapsed="false">
      <c r="A30" s="10"/>
      <c r="B30" s="34"/>
      <c r="C30" s="34"/>
      <c r="D30" s="34"/>
      <c r="E30" s="34"/>
      <c r="F30" s="35" t="str">
        <f aca="false">IF(OR($A30="",C30=""),"",MIN(IF($B30="ТТП",IF(C30/Настройки!$C$6&gt;=Настройки!$B$23,5,IF(C30/Настройки!$C$6&gt;=Настройки!$B$24,4,IF(C30/Настройки!$C$6&gt;=Настройки!$B$25,3,2))),IF($B30="ТТМ",IF(C30/Настройки!$C$6&gt;=Настройки!$B$29,5,IF(C30/Настройки!$C$6&gt;=Настройки!$B$30,4,IF(C30/Настройки!$C$6&gt;=Настройки!$B$31,3,2))),"")),IFERROR(VLOOKUP(D30,Настройки!$A$35:$B$37,2,FALSE()),5),IFERROR(VLOOKUP(E30,Настройки!$A$41:$B$44,2,FALSE()),5)))</f>
        <v/>
      </c>
      <c r="G30" s="36" t="str">
        <f aca="false">IF(F30="","",Настройки!$B$6*VLOOKUP(F30,Настройки!$A$16:$B$19,2,FALSE()))</f>
        <v/>
      </c>
      <c r="H30" s="34"/>
      <c r="I30" s="34"/>
      <c r="J30" s="34"/>
      <c r="K30" s="34"/>
      <c r="L30" s="35" t="str">
        <f aca="false">IF(OR($A30="",H30=""),"",MIN(IF($B30="ТТП",IF(H30/Настройки!$C$7&gt;=Настройки!$B$23,5,IF(H30/Настройки!$C$7&gt;=Настройки!$B$24,4,IF(H30/Настройки!$C$7&gt;=Настройки!$B$25,3,2))),IF($B30="ТТМ",IF(H30/Настройки!$C$7&gt;=Настройки!$B$29,5,IF(H30/Настройки!$C$7&gt;=Настройки!$B$30,4,IF(H30/Настройки!$C$7&gt;=Настройки!$B$31,3,2))),"")),IF($B30&lt;&gt;"ТТП",5,IF(I30="Да",5,4)),IFERROR(VLOOKUP(J30,Настройки!$A$35:$B$37,2,FALSE()),5),IFERROR(VLOOKUP(K30,Настройки!$A$41:$B$44,2,FALSE()),5)))</f>
        <v/>
      </c>
      <c r="M30" s="36" t="str">
        <f aca="false">IF(L30="","",MIN(Настройки!$B$7,Настройки!$B$7*VLOOKUP(L30,Настройки!$A$16:$B$19,2,FALSE())+IF(AND($B30="ТТМ",I30="Да"),Настройки!$B$7*Настройки!$A$53,0)))</f>
        <v/>
      </c>
      <c r="N30" s="34"/>
      <c r="O30" s="34"/>
      <c r="P30" s="34"/>
      <c r="Q30" s="34"/>
      <c r="R30" s="35" t="str">
        <f aca="false">IF(OR($A30="",N30=""),"",MIN(IF($B30="ТТП",IF(N30/Настройки!$C$8&gt;=Настройки!$B$23,5,IF(N30/Настройки!$C$8&gt;=Настройки!$B$24,4,IF(N30/Настройки!$C$8&gt;=Настройки!$B$25,3,2))),IF($B30="ТТМ",IF(N30/Настройки!$C$8&gt;=Настройки!$B$29,5,IF(N30/Настройки!$C$8&gt;=Настройки!$B$30,4,IF(N30/Настройки!$C$8&gt;=Настройки!$B$31,3,2))),"")),IF($B30&lt;&gt;"ТТП",5,IF(O30="Да",5,4)),IFERROR(VLOOKUP(P30,Настройки!$A$35:$B$37,2,FALSE()),5),IFERROR(VLOOKUP(Q30,Настройки!$A$41:$B$44,2,FALSE()),5)))</f>
        <v/>
      </c>
      <c r="S30" s="36" t="str">
        <f aca="false">IF(R30="","",MIN(Настройки!$B$8,Настройки!$B$8*VLOOKUP(R30,Настройки!$A$16:$B$19,2,FALSE())+IF(AND($B30="ТТМ",O30="Да"),Настройки!$B$8*Настройки!$A$53,0)))</f>
        <v/>
      </c>
      <c r="T30" s="34"/>
      <c r="U30" s="34"/>
      <c r="V30" s="34"/>
      <c r="W30" s="34"/>
      <c r="X30" s="35" t="str">
        <f aca="false">IF(OR($A30="",T30=""),"",MIN(IF($B30="ТТП",IF(T30/Настройки!$C$9&gt;=Настройки!$B$23,5,IF(T30/Настройки!$C$9&gt;=Настройки!$B$24,4,IF(T30/Настройки!$C$9&gt;=Настройки!$B$25,3,2))),IF($B30="ТТМ",IF(T30/Настройки!$C$9&gt;=Настройки!$B$29,5,IF(T30/Настройки!$C$9&gt;=Настройки!$B$30,4,IF(T30/Настройки!$C$9&gt;=Настройки!$B$31,3,2))),"")),IF($B30&lt;&gt;"ТТП",5,IF(U30="Да",5,4)),IFERROR(VLOOKUP(V30,Настройки!$A$35:$B$37,2,FALSE()),5),IFERROR(VLOOKUP(W30,Настройки!$A$41:$B$44,2,FALSE()),5)))</f>
        <v/>
      </c>
      <c r="Y30" s="36" t="str">
        <f aca="false">IF(X30="","",MIN(Настройки!$B$9,Настройки!$B$9*VLOOKUP(X30,Настройки!$A$16:$B$19,2,FALSE())+IF(AND($B30="ТТМ",U30="Да"),Настройки!$B$9*Настройки!$A$53,0)))</f>
        <v/>
      </c>
      <c r="Z30" s="34"/>
      <c r="AA30" s="34"/>
      <c r="AB30" s="34"/>
      <c r="AC30" s="34"/>
      <c r="AD30" s="35" t="str">
        <f aca="false">IF(OR($A30="",Z30=""),"",MIN(IF($B30="ТТП",IF(Z30/Настройки!$C$10&gt;=Настройки!$B$23,5,IF(Z30/Настройки!$C$10&gt;=Настройки!$B$24,4,IF(Z30/Настройки!$C$10&gt;=Настройки!$B$25,3,2))),IF($B30="ТТМ",IF(Z30/Настройки!$C$10&gt;=Настройки!$B$29,5,IF(Z30/Настройки!$C$10&gt;=Настройки!$B$30,4,IF(Z30/Настройки!$C$10&gt;=Настройки!$B$31,3,2))),"")),IF($B30&lt;&gt;"ТТП",5,IF(AA30="Да",5,4)),IFERROR(VLOOKUP(AB30,Настройки!$A$35:$B$37,2,FALSE()),5),IFERROR(VLOOKUP(AC30,Настройки!$A$41:$B$44,2,FALSE()),5)))</f>
        <v/>
      </c>
      <c r="AE30" s="36" t="str">
        <f aca="false">IF(AD30="","",MIN(Настройки!$B$10,Настройки!$B$10*VLOOKUP(AD30,Настройки!$A$16:$B$19,2,FALSE())+IF(AND($B30="ТТМ",AA30="Да"),Настройки!$B$10*Настройки!$A$53,0)))</f>
        <v/>
      </c>
      <c r="AF30" s="34"/>
      <c r="AG30" s="34"/>
      <c r="AH30" s="34"/>
      <c r="AI30" s="34"/>
      <c r="AJ30" s="35" t="str">
        <f aca="false">IF(OR($A30="",AF30=""),"",MIN(IF($B30="ТТП",IF(AF30/Настройки!$C$11&gt;=Настройки!$B$23,5,IF(AF30/Настройки!$C$11&gt;=Настройки!$B$24,4,IF(AF30/Настройки!$C$11&gt;=Настройки!$B$25,3,2))),IF($B30="ТТМ",IF(AF30/Настройки!$C$11&gt;=Настройки!$B$29,5,IF(AF30/Настройки!$C$11&gt;=Настройки!$B$30,4,IF(AF30/Настройки!$C$11&gt;=Настройки!$B$31,3,2))),"")),IF($B30&lt;&gt;"ТТП",5,IF(AG30="Да",5,4)),IFERROR(VLOOKUP(AH30,Настройки!$A$35:$B$37,2,FALSE()),5),IFERROR(VLOOKUP(AI30,Настройки!$A$41:$B$44,2,FALSE()),5)))</f>
        <v/>
      </c>
      <c r="AK30" s="36" t="str">
        <f aca="false">IF(AJ30="","",MIN(Настройки!$B$11,Настройки!$B$11*VLOOKUP(AJ30,Настройки!$A$16:$B$19,2,FALSE())+IF(AND($B30="ТТМ",AG30="Да"),Настройки!$B$11*Настройки!$A$53,0)))</f>
        <v/>
      </c>
      <c r="AL30" s="34"/>
      <c r="AM30" s="34"/>
      <c r="AN30" s="34"/>
      <c r="AO30" s="35" t="str">
        <f aca="false">IF(OR($A30="",AL30=""),"",MIN(IF($B30="ТТП",IF(AL30/Настройки!$C$57&gt;=Настройки!$B$23,5,IF(AL30/Настройки!$C$57&gt;=Настройки!$B$24,4,IF(AL30/Настройки!$C$57&gt;=Настройки!$B$25,3,2))),IF($B30="ТТМ",IF(AL30/Настройки!$C$57&gt;=Настройки!$B$29,5,IF(AL30/Настройки!$C$57&gt;=Настройки!$B$30,4,IF(AL30/Настройки!$C$57&gt;=Настройки!$B$31,3,2))),"")),IF($B30&lt;&gt;"ТТП",5,IF(AM30="Да",5,4)),IFERROR(VLOOKUP(AN30,Настройки!$A$35:$B$37,2,FALSE()),5)))</f>
        <v/>
      </c>
      <c r="AP30" s="36" t="str">
        <f aca="false">IF(AO30="","",MIN(Настройки!$B$57,Настройки!$B$57*VLOOKUP(AO30,Настройки!$A$16:$B$19,2,FALSE())+IF(AND($B30="ТТМ",AM30="Да"),Настройки!$B$57*Настройки!$A$53,0)))</f>
        <v/>
      </c>
      <c r="AQ30" s="36" t="str">
        <f aca="false">IF($A30="","",SUM(G30,M30,S30,Y30,AE30,AK30)+IF(AP30="",0,AP30))</f>
        <v/>
      </c>
      <c r="AR30" s="37" t="str">
        <f aca="false">IF(AQ30="","",VLOOKUP(AQ30,Настройки!$A$48:$B$51,2,TRUE()))</f>
        <v/>
      </c>
    </row>
    <row r="31" customFormat="false" ht="15" hidden="false" customHeight="true" outlineLevel="0" collapsed="false">
      <c r="A31" s="10"/>
      <c r="B31" s="34"/>
      <c r="C31" s="34"/>
      <c r="D31" s="34"/>
      <c r="E31" s="34"/>
      <c r="F31" s="35" t="str">
        <f aca="false">IF(OR($A31="",C31=""),"",MIN(IF($B31="ТТП",IF(C31/Настройки!$C$6&gt;=Настройки!$B$23,5,IF(C31/Настройки!$C$6&gt;=Настройки!$B$24,4,IF(C31/Настройки!$C$6&gt;=Настройки!$B$25,3,2))),IF($B31="ТТМ",IF(C31/Настройки!$C$6&gt;=Настройки!$B$29,5,IF(C31/Настройки!$C$6&gt;=Настройки!$B$30,4,IF(C31/Настройки!$C$6&gt;=Настройки!$B$31,3,2))),"")),IFERROR(VLOOKUP(D31,Настройки!$A$35:$B$37,2,FALSE()),5),IFERROR(VLOOKUP(E31,Настройки!$A$41:$B$44,2,FALSE()),5)))</f>
        <v/>
      </c>
      <c r="G31" s="36" t="str">
        <f aca="false">IF(F31="","",Настройки!$B$6*VLOOKUP(F31,Настройки!$A$16:$B$19,2,FALSE()))</f>
        <v/>
      </c>
      <c r="H31" s="34"/>
      <c r="I31" s="34"/>
      <c r="J31" s="34"/>
      <c r="K31" s="34"/>
      <c r="L31" s="35" t="str">
        <f aca="false">IF(OR($A31="",H31=""),"",MIN(IF($B31="ТТП",IF(H31/Настройки!$C$7&gt;=Настройки!$B$23,5,IF(H31/Настройки!$C$7&gt;=Настройки!$B$24,4,IF(H31/Настройки!$C$7&gt;=Настройки!$B$25,3,2))),IF($B31="ТТМ",IF(H31/Настройки!$C$7&gt;=Настройки!$B$29,5,IF(H31/Настройки!$C$7&gt;=Настройки!$B$30,4,IF(H31/Настройки!$C$7&gt;=Настройки!$B$31,3,2))),"")),IF($B31&lt;&gt;"ТТП",5,IF(I31="Да",5,4)),IFERROR(VLOOKUP(J31,Настройки!$A$35:$B$37,2,FALSE()),5),IFERROR(VLOOKUP(K31,Настройки!$A$41:$B$44,2,FALSE()),5)))</f>
        <v/>
      </c>
      <c r="M31" s="36" t="str">
        <f aca="false">IF(L31="","",MIN(Настройки!$B$7,Настройки!$B$7*VLOOKUP(L31,Настройки!$A$16:$B$19,2,FALSE())+IF(AND($B31="ТТМ",I31="Да"),Настройки!$B$7*Настройки!$A$53,0)))</f>
        <v/>
      </c>
      <c r="N31" s="34"/>
      <c r="O31" s="34"/>
      <c r="P31" s="34"/>
      <c r="Q31" s="34"/>
      <c r="R31" s="35" t="str">
        <f aca="false">IF(OR($A31="",N31=""),"",MIN(IF($B31="ТТП",IF(N31/Настройки!$C$8&gt;=Настройки!$B$23,5,IF(N31/Настройки!$C$8&gt;=Настройки!$B$24,4,IF(N31/Настройки!$C$8&gt;=Настройки!$B$25,3,2))),IF($B31="ТТМ",IF(N31/Настройки!$C$8&gt;=Настройки!$B$29,5,IF(N31/Настройки!$C$8&gt;=Настройки!$B$30,4,IF(N31/Настройки!$C$8&gt;=Настройки!$B$31,3,2))),"")),IF($B31&lt;&gt;"ТТП",5,IF(O31="Да",5,4)),IFERROR(VLOOKUP(P31,Настройки!$A$35:$B$37,2,FALSE()),5),IFERROR(VLOOKUP(Q31,Настройки!$A$41:$B$44,2,FALSE()),5)))</f>
        <v/>
      </c>
      <c r="S31" s="36" t="str">
        <f aca="false">IF(R31="","",MIN(Настройки!$B$8,Настройки!$B$8*VLOOKUP(R31,Настройки!$A$16:$B$19,2,FALSE())+IF(AND($B31="ТТМ",O31="Да"),Настройки!$B$8*Настройки!$A$53,0)))</f>
        <v/>
      </c>
      <c r="T31" s="34"/>
      <c r="U31" s="34"/>
      <c r="V31" s="34"/>
      <c r="W31" s="34"/>
      <c r="X31" s="35" t="str">
        <f aca="false">IF(OR($A31="",T31=""),"",MIN(IF($B31="ТТП",IF(T31/Настройки!$C$9&gt;=Настройки!$B$23,5,IF(T31/Настройки!$C$9&gt;=Настройки!$B$24,4,IF(T31/Настройки!$C$9&gt;=Настройки!$B$25,3,2))),IF($B31="ТТМ",IF(T31/Настройки!$C$9&gt;=Настройки!$B$29,5,IF(T31/Настройки!$C$9&gt;=Настройки!$B$30,4,IF(T31/Настройки!$C$9&gt;=Настройки!$B$31,3,2))),"")),IF($B31&lt;&gt;"ТТП",5,IF(U31="Да",5,4)),IFERROR(VLOOKUP(V31,Настройки!$A$35:$B$37,2,FALSE()),5),IFERROR(VLOOKUP(W31,Настройки!$A$41:$B$44,2,FALSE()),5)))</f>
        <v/>
      </c>
      <c r="Y31" s="36" t="str">
        <f aca="false">IF(X31="","",MIN(Настройки!$B$9,Настройки!$B$9*VLOOKUP(X31,Настройки!$A$16:$B$19,2,FALSE())+IF(AND($B31="ТТМ",U31="Да"),Настройки!$B$9*Настройки!$A$53,0)))</f>
        <v/>
      </c>
      <c r="Z31" s="34"/>
      <c r="AA31" s="34"/>
      <c r="AB31" s="34"/>
      <c r="AC31" s="34"/>
      <c r="AD31" s="35" t="str">
        <f aca="false">IF(OR($A31="",Z31=""),"",MIN(IF($B31="ТТП",IF(Z31/Настройки!$C$10&gt;=Настройки!$B$23,5,IF(Z31/Настройки!$C$10&gt;=Настройки!$B$24,4,IF(Z31/Настройки!$C$10&gt;=Настройки!$B$25,3,2))),IF($B31="ТТМ",IF(Z31/Настройки!$C$10&gt;=Настройки!$B$29,5,IF(Z31/Настройки!$C$10&gt;=Настройки!$B$30,4,IF(Z31/Настройки!$C$10&gt;=Настройки!$B$31,3,2))),"")),IF($B31&lt;&gt;"ТТП",5,IF(AA31="Да",5,4)),IFERROR(VLOOKUP(AB31,Настройки!$A$35:$B$37,2,FALSE()),5),IFERROR(VLOOKUP(AC31,Настройки!$A$41:$B$44,2,FALSE()),5)))</f>
        <v/>
      </c>
      <c r="AE31" s="36" t="str">
        <f aca="false">IF(AD31="","",MIN(Настройки!$B$10,Настройки!$B$10*VLOOKUP(AD31,Настройки!$A$16:$B$19,2,FALSE())+IF(AND($B31="ТТМ",AA31="Да"),Настройки!$B$10*Настройки!$A$53,0)))</f>
        <v/>
      </c>
      <c r="AF31" s="34"/>
      <c r="AG31" s="34"/>
      <c r="AH31" s="34"/>
      <c r="AI31" s="34"/>
      <c r="AJ31" s="35" t="str">
        <f aca="false">IF(OR($A31="",AF31=""),"",MIN(IF($B31="ТТП",IF(AF31/Настройки!$C$11&gt;=Настройки!$B$23,5,IF(AF31/Настройки!$C$11&gt;=Настройки!$B$24,4,IF(AF31/Настройки!$C$11&gt;=Настройки!$B$25,3,2))),IF($B31="ТТМ",IF(AF31/Настройки!$C$11&gt;=Настройки!$B$29,5,IF(AF31/Настройки!$C$11&gt;=Настройки!$B$30,4,IF(AF31/Настройки!$C$11&gt;=Настройки!$B$31,3,2))),"")),IF($B31&lt;&gt;"ТТП",5,IF(AG31="Да",5,4)),IFERROR(VLOOKUP(AH31,Настройки!$A$35:$B$37,2,FALSE()),5),IFERROR(VLOOKUP(AI31,Настройки!$A$41:$B$44,2,FALSE()),5)))</f>
        <v/>
      </c>
      <c r="AK31" s="36" t="str">
        <f aca="false">IF(AJ31="","",MIN(Настройки!$B$11,Настройки!$B$11*VLOOKUP(AJ31,Настройки!$A$16:$B$19,2,FALSE())+IF(AND($B31="ТТМ",AG31="Да"),Настройки!$B$11*Настройки!$A$53,0)))</f>
        <v/>
      </c>
      <c r="AL31" s="34"/>
      <c r="AM31" s="34"/>
      <c r="AN31" s="34"/>
      <c r="AO31" s="35" t="str">
        <f aca="false">IF(OR($A31="",AL31=""),"",MIN(IF($B31="ТТП",IF(AL31/Настройки!$C$57&gt;=Настройки!$B$23,5,IF(AL31/Настройки!$C$57&gt;=Настройки!$B$24,4,IF(AL31/Настройки!$C$57&gt;=Настройки!$B$25,3,2))),IF($B31="ТТМ",IF(AL31/Настройки!$C$57&gt;=Настройки!$B$29,5,IF(AL31/Настройки!$C$57&gt;=Настройки!$B$30,4,IF(AL31/Настройки!$C$57&gt;=Настройки!$B$31,3,2))),"")),IF($B31&lt;&gt;"ТТП",5,IF(AM31="Да",5,4)),IFERROR(VLOOKUP(AN31,Настройки!$A$35:$B$37,2,FALSE()),5)))</f>
        <v/>
      </c>
      <c r="AP31" s="36" t="str">
        <f aca="false">IF(AO31="","",MIN(Настройки!$B$57,Настройки!$B$57*VLOOKUP(AO31,Настройки!$A$16:$B$19,2,FALSE())+IF(AND($B31="ТТМ",AM31="Да"),Настройки!$B$57*Настройки!$A$53,0)))</f>
        <v/>
      </c>
      <c r="AQ31" s="36" t="str">
        <f aca="false">IF($A31="","",SUM(G31,M31,S31,Y31,AE31,AK31)+IF(AP31="",0,AP31))</f>
        <v/>
      </c>
      <c r="AR31" s="37" t="str">
        <f aca="false">IF(AQ31="","",VLOOKUP(AQ31,Настройки!$A$48:$B$51,2,TRUE()))</f>
        <v/>
      </c>
    </row>
    <row r="32" customFormat="false" ht="15" hidden="false" customHeight="true" outlineLevel="0" collapsed="false">
      <c r="A32" s="10"/>
      <c r="B32" s="34"/>
      <c r="C32" s="34"/>
      <c r="D32" s="34"/>
      <c r="E32" s="34"/>
      <c r="F32" s="35" t="str">
        <f aca="false">IF(OR($A32="",C32=""),"",MIN(IF($B32="ТТП",IF(C32/Настройки!$C$6&gt;=Настройки!$B$23,5,IF(C32/Настройки!$C$6&gt;=Настройки!$B$24,4,IF(C32/Настройки!$C$6&gt;=Настройки!$B$25,3,2))),IF($B32="ТТМ",IF(C32/Настройки!$C$6&gt;=Настройки!$B$29,5,IF(C32/Настройки!$C$6&gt;=Настройки!$B$30,4,IF(C32/Настройки!$C$6&gt;=Настройки!$B$31,3,2))),"")),IFERROR(VLOOKUP(D32,Настройки!$A$35:$B$37,2,FALSE()),5),IFERROR(VLOOKUP(E32,Настройки!$A$41:$B$44,2,FALSE()),5)))</f>
        <v/>
      </c>
      <c r="G32" s="36" t="str">
        <f aca="false">IF(F32="","",Настройки!$B$6*VLOOKUP(F32,Настройки!$A$16:$B$19,2,FALSE()))</f>
        <v/>
      </c>
      <c r="H32" s="34"/>
      <c r="I32" s="34"/>
      <c r="J32" s="34"/>
      <c r="K32" s="34"/>
      <c r="L32" s="35" t="str">
        <f aca="false">IF(OR($A32="",H32=""),"",MIN(IF($B32="ТТП",IF(H32/Настройки!$C$7&gt;=Настройки!$B$23,5,IF(H32/Настройки!$C$7&gt;=Настройки!$B$24,4,IF(H32/Настройки!$C$7&gt;=Настройки!$B$25,3,2))),IF($B32="ТТМ",IF(H32/Настройки!$C$7&gt;=Настройки!$B$29,5,IF(H32/Настройки!$C$7&gt;=Настройки!$B$30,4,IF(H32/Настройки!$C$7&gt;=Настройки!$B$31,3,2))),"")),IF($B32&lt;&gt;"ТТП",5,IF(I32="Да",5,4)),IFERROR(VLOOKUP(J32,Настройки!$A$35:$B$37,2,FALSE()),5),IFERROR(VLOOKUP(K32,Настройки!$A$41:$B$44,2,FALSE()),5)))</f>
        <v/>
      </c>
      <c r="M32" s="36" t="str">
        <f aca="false">IF(L32="","",MIN(Настройки!$B$7,Настройки!$B$7*VLOOKUP(L32,Настройки!$A$16:$B$19,2,FALSE())+IF(AND($B32="ТТМ",I32="Да"),Настройки!$B$7*Настройки!$A$53,0)))</f>
        <v/>
      </c>
      <c r="N32" s="34"/>
      <c r="O32" s="34"/>
      <c r="P32" s="34"/>
      <c r="Q32" s="34"/>
      <c r="R32" s="35" t="str">
        <f aca="false">IF(OR($A32="",N32=""),"",MIN(IF($B32="ТТП",IF(N32/Настройки!$C$8&gt;=Настройки!$B$23,5,IF(N32/Настройки!$C$8&gt;=Настройки!$B$24,4,IF(N32/Настройки!$C$8&gt;=Настройки!$B$25,3,2))),IF($B32="ТТМ",IF(N32/Настройки!$C$8&gt;=Настройки!$B$29,5,IF(N32/Настройки!$C$8&gt;=Настройки!$B$30,4,IF(N32/Настройки!$C$8&gt;=Настройки!$B$31,3,2))),"")),IF($B32&lt;&gt;"ТТП",5,IF(O32="Да",5,4)),IFERROR(VLOOKUP(P32,Настройки!$A$35:$B$37,2,FALSE()),5),IFERROR(VLOOKUP(Q32,Настройки!$A$41:$B$44,2,FALSE()),5)))</f>
        <v/>
      </c>
      <c r="S32" s="36" t="str">
        <f aca="false">IF(R32="","",MIN(Настройки!$B$8,Настройки!$B$8*VLOOKUP(R32,Настройки!$A$16:$B$19,2,FALSE())+IF(AND($B32="ТТМ",O32="Да"),Настройки!$B$8*Настройки!$A$53,0)))</f>
        <v/>
      </c>
      <c r="T32" s="34"/>
      <c r="U32" s="34"/>
      <c r="V32" s="34"/>
      <c r="W32" s="34"/>
      <c r="X32" s="35" t="str">
        <f aca="false">IF(OR($A32="",T32=""),"",MIN(IF($B32="ТТП",IF(T32/Настройки!$C$9&gt;=Настройки!$B$23,5,IF(T32/Настройки!$C$9&gt;=Настройки!$B$24,4,IF(T32/Настройки!$C$9&gt;=Настройки!$B$25,3,2))),IF($B32="ТТМ",IF(T32/Настройки!$C$9&gt;=Настройки!$B$29,5,IF(T32/Настройки!$C$9&gt;=Настройки!$B$30,4,IF(T32/Настройки!$C$9&gt;=Настройки!$B$31,3,2))),"")),IF($B32&lt;&gt;"ТТП",5,IF(U32="Да",5,4)),IFERROR(VLOOKUP(V32,Настройки!$A$35:$B$37,2,FALSE()),5),IFERROR(VLOOKUP(W32,Настройки!$A$41:$B$44,2,FALSE()),5)))</f>
        <v/>
      </c>
      <c r="Y32" s="36" t="str">
        <f aca="false">IF(X32="","",MIN(Настройки!$B$9,Настройки!$B$9*VLOOKUP(X32,Настройки!$A$16:$B$19,2,FALSE())+IF(AND($B32="ТТМ",U32="Да"),Настройки!$B$9*Настройки!$A$53,0)))</f>
        <v/>
      </c>
      <c r="Z32" s="34"/>
      <c r="AA32" s="34"/>
      <c r="AB32" s="34"/>
      <c r="AC32" s="34"/>
      <c r="AD32" s="35" t="str">
        <f aca="false">IF(OR($A32="",Z32=""),"",MIN(IF($B32="ТТП",IF(Z32/Настройки!$C$10&gt;=Настройки!$B$23,5,IF(Z32/Настройки!$C$10&gt;=Настройки!$B$24,4,IF(Z32/Настройки!$C$10&gt;=Настройки!$B$25,3,2))),IF($B32="ТТМ",IF(Z32/Настройки!$C$10&gt;=Настройки!$B$29,5,IF(Z32/Настройки!$C$10&gt;=Настройки!$B$30,4,IF(Z32/Настройки!$C$10&gt;=Настройки!$B$31,3,2))),"")),IF($B32&lt;&gt;"ТТП",5,IF(AA32="Да",5,4)),IFERROR(VLOOKUP(AB32,Настройки!$A$35:$B$37,2,FALSE()),5),IFERROR(VLOOKUP(AC32,Настройки!$A$41:$B$44,2,FALSE()),5)))</f>
        <v/>
      </c>
      <c r="AE32" s="36" t="str">
        <f aca="false">IF(AD32="","",MIN(Настройки!$B$10,Настройки!$B$10*VLOOKUP(AD32,Настройки!$A$16:$B$19,2,FALSE())+IF(AND($B32="ТТМ",AA32="Да"),Настройки!$B$10*Настройки!$A$53,0)))</f>
        <v/>
      </c>
      <c r="AF32" s="34"/>
      <c r="AG32" s="34"/>
      <c r="AH32" s="34"/>
      <c r="AI32" s="34"/>
      <c r="AJ32" s="35" t="str">
        <f aca="false">IF(OR($A32="",AF32=""),"",MIN(IF($B32="ТТП",IF(AF32/Настройки!$C$11&gt;=Настройки!$B$23,5,IF(AF32/Настройки!$C$11&gt;=Настройки!$B$24,4,IF(AF32/Настройки!$C$11&gt;=Настройки!$B$25,3,2))),IF($B32="ТТМ",IF(AF32/Настройки!$C$11&gt;=Настройки!$B$29,5,IF(AF32/Настройки!$C$11&gt;=Настройки!$B$30,4,IF(AF32/Настройки!$C$11&gt;=Настройки!$B$31,3,2))),"")),IF($B32&lt;&gt;"ТТП",5,IF(AG32="Да",5,4)),IFERROR(VLOOKUP(AH32,Настройки!$A$35:$B$37,2,FALSE()),5),IFERROR(VLOOKUP(AI32,Настройки!$A$41:$B$44,2,FALSE()),5)))</f>
        <v/>
      </c>
      <c r="AK32" s="36" t="str">
        <f aca="false">IF(AJ32="","",MIN(Настройки!$B$11,Настройки!$B$11*VLOOKUP(AJ32,Настройки!$A$16:$B$19,2,FALSE())+IF(AND($B32="ТТМ",AG32="Да"),Настройки!$B$11*Настройки!$A$53,0)))</f>
        <v/>
      </c>
      <c r="AL32" s="34"/>
      <c r="AM32" s="34"/>
      <c r="AN32" s="34"/>
      <c r="AO32" s="35" t="str">
        <f aca="false">IF(OR($A32="",AL32=""),"",MIN(IF($B32="ТТП",IF(AL32/Настройки!$C$57&gt;=Настройки!$B$23,5,IF(AL32/Настройки!$C$57&gt;=Настройки!$B$24,4,IF(AL32/Настройки!$C$57&gt;=Настройки!$B$25,3,2))),IF($B32="ТТМ",IF(AL32/Настройки!$C$57&gt;=Настройки!$B$29,5,IF(AL32/Настройки!$C$57&gt;=Настройки!$B$30,4,IF(AL32/Настройки!$C$57&gt;=Настройки!$B$31,3,2))),"")),IF($B32&lt;&gt;"ТТП",5,IF(AM32="Да",5,4)),IFERROR(VLOOKUP(AN32,Настройки!$A$35:$B$37,2,FALSE()),5)))</f>
        <v/>
      </c>
      <c r="AP32" s="36" t="str">
        <f aca="false">IF(AO32="","",MIN(Настройки!$B$57,Настройки!$B$57*VLOOKUP(AO32,Настройки!$A$16:$B$19,2,FALSE())+IF(AND($B32="ТТМ",AM32="Да"),Настройки!$B$57*Настройки!$A$53,0)))</f>
        <v/>
      </c>
      <c r="AQ32" s="36" t="str">
        <f aca="false">IF($A32="","",SUM(G32,M32,S32,Y32,AE32,AK32)+IF(AP32="",0,AP32))</f>
        <v/>
      </c>
      <c r="AR32" s="37" t="str">
        <f aca="false">IF(AQ32="","",VLOOKUP(AQ32,Настройки!$A$48:$B$51,2,TRUE()))</f>
        <v/>
      </c>
    </row>
    <row r="33" customFormat="false" ht="15" hidden="false" customHeight="true" outlineLevel="0" collapsed="false">
      <c r="A33" s="10"/>
      <c r="B33" s="34"/>
      <c r="C33" s="34"/>
      <c r="D33" s="34"/>
      <c r="E33" s="34"/>
      <c r="F33" s="35" t="str">
        <f aca="false">IF(OR($A33="",C33=""),"",MIN(IF($B33="ТТП",IF(C33/Настройки!$C$6&gt;=Настройки!$B$23,5,IF(C33/Настройки!$C$6&gt;=Настройки!$B$24,4,IF(C33/Настройки!$C$6&gt;=Настройки!$B$25,3,2))),IF($B33="ТТМ",IF(C33/Настройки!$C$6&gt;=Настройки!$B$29,5,IF(C33/Настройки!$C$6&gt;=Настройки!$B$30,4,IF(C33/Настройки!$C$6&gt;=Настройки!$B$31,3,2))),"")),IFERROR(VLOOKUP(D33,Настройки!$A$35:$B$37,2,FALSE()),5),IFERROR(VLOOKUP(E33,Настройки!$A$41:$B$44,2,FALSE()),5)))</f>
        <v/>
      </c>
      <c r="G33" s="36" t="str">
        <f aca="false">IF(F33="","",Настройки!$B$6*VLOOKUP(F33,Настройки!$A$16:$B$19,2,FALSE()))</f>
        <v/>
      </c>
      <c r="H33" s="34"/>
      <c r="I33" s="34"/>
      <c r="J33" s="34"/>
      <c r="K33" s="34"/>
      <c r="L33" s="35" t="str">
        <f aca="false">IF(OR($A33="",H33=""),"",MIN(IF($B33="ТТП",IF(H33/Настройки!$C$7&gt;=Настройки!$B$23,5,IF(H33/Настройки!$C$7&gt;=Настройки!$B$24,4,IF(H33/Настройки!$C$7&gt;=Настройки!$B$25,3,2))),IF($B33="ТТМ",IF(H33/Настройки!$C$7&gt;=Настройки!$B$29,5,IF(H33/Настройки!$C$7&gt;=Настройки!$B$30,4,IF(H33/Настройки!$C$7&gt;=Настройки!$B$31,3,2))),"")),IF($B33&lt;&gt;"ТТП",5,IF(I33="Да",5,4)),IFERROR(VLOOKUP(J33,Настройки!$A$35:$B$37,2,FALSE()),5),IFERROR(VLOOKUP(K33,Настройки!$A$41:$B$44,2,FALSE()),5)))</f>
        <v/>
      </c>
      <c r="M33" s="36" t="str">
        <f aca="false">IF(L33="","",MIN(Настройки!$B$7,Настройки!$B$7*VLOOKUP(L33,Настройки!$A$16:$B$19,2,FALSE())+IF(AND($B33="ТТМ",I33="Да"),Настройки!$B$7*Настройки!$A$53,0)))</f>
        <v/>
      </c>
      <c r="N33" s="34"/>
      <c r="O33" s="34"/>
      <c r="P33" s="34"/>
      <c r="Q33" s="34"/>
      <c r="R33" s="35" t="str">
        <f aca="false">IF(OR($A33="",N33=""),"",MIN(IF($B33="ТТП",IF(N33/Настройки!$C$8&gt;=Настройки!$B$23,5,IF(N33/Настройки!$C$8&gt;=Настройки!$B$24,4,IF(N33/Настройки!$C$8&gt;=Настройки!$B$25,3,2))),IF($B33="ТТМ",IF(N33/Настройки!$C$8&gt;=Настройки!$B$29,5,IF(N33/Настройки!$C$8&gt;=Настройки!$B$30,4,IF(N33/Настройки!$C$8&gt;=Настройки!$B$31,3,2))),"")),IF($B33&lt;&gt;"ТТП",5,IF(O33="Да",5,4)),IFERROR(VLOOKUP(P33,Настройки!$A$35:$B$37,2,FALSE()),5),IFERROR(VLOOKUP(Q33,Настройки!$A$41:$B$44,2,FALSE()),5)))</f>
        <v/>
      </c>
      <c r="S33" s="36" t="str">
        <f aca="false">IF(R33="","",MIN(Настройки!$B$8,Настройки!$B$8*VLOOKUP(R33,Настройки!$A$16:$B$19,2,FALSE())+IF(AND($B33="ТТМ",O33="Да"),Настройки!$B$8*Настройки!$A$53,0)))</f>
        <v/>
      </c>
      <c r="T33" s="34"/>
      <c r="U33" s="34"/>
      <c r="V33" s="34"/>
      <c r="W33" s="34"/>
      <c r="X33" s="35" t="str">
        <f aca="false">IF(OR($A33="",T33=""),"",MIN(IF($B33="ТТП",IF(T33/Настройки!$C$9&gt;=Настройки!$B$23,5,IF(T33/Настройки!$C$9&gt;=Настройки!$B$24,4,IF(T33/Настройки!$C$9&gt;=Настройки!$B$25,3,2))),IF($B33="ТТМ",IF(T33/Настройки!$C$9&gt;=Настройки!$B$29,5,IF(T33/Настройки!$C$9&gt;=Настройки!$B$30,4,IF(T33/Настройки!$C$9&gt;=Настройки!$B$31,3,2))),"")),IF($B33&lt;&gt;"ТТП",5,IF(U33="Да",5,4)),IFERROR(VLOOKUP(V33,Настройки!$A$35:$B$37,2,FALSE()),5),IFERROR(VLOOKUP(W33,Настройки!$A$41:$B$44,2,FALSE()),5)))</f>
        <v/>
      </c>
      <c r="Y33" s="36" t="str">
        <f aca="false">IF(X33="","",MIN(Настройки!$B$9,Настройки!$B$9*VLOOKUP(X33,Настройки!$A$16:$B$19,2,FALSE())+IF(AND($B33="ТТМ",U33="Да"),Настройки!$B$9*Настройки!$A$53,0)))</f>
        <v/>
      </c>
      <c r="Z33" s="34"/>
      <c r="AA33" s="34"/>
      <c r="AB33" s="34"/>
      <c r="AC33" s="34"/>
      <c r="AD33" s="35" t="str">
        <f aca="false">IF(OR($A33="",Z33=""),"",MIN(IF($B33="ТТП",IF(Z33/Настройки!$C$10&gt;=Настройки!$B$23,5,IF(Z33/Настройки!$C$10&gt;=Настройки!$B$24,4,IF(Z33/Настройки!$C$10&gt;=Настройки!$B$25,3,2))),IF($B33="ТТМ",IF(Z33/Настройки!$C$10&gt;=Настройки!$B$29,5,IF(Z33/Настройки!$C$10&gt;=Настройки!$B$30,4,IF(Z33/Настройки!$C$10&gt;=Настройки!$B$31,3,2))),"")),IF($B33&lt;&gt;"ТТП",5,IF(AA33="Да",5,4)),IFERROR(VLOOKUP(AB33,Настройки!$A$35:$B$37,2,FALSE()),5),IFERROR(VLOOKUP(AC33,Настройки!$A$41:$B$44,2,FALSE()),5)))</f>
        <v/>
      </c>
      <c r="AE33" s="36" t="str">
        <f aca="false">IF(AD33="","",MIN(Настройки!$B$10,Настройки!$B$10*VLOOKUP(AD33,Настройки!$A$16:$B$19,2,FALSE())+IF(AND($B33="ТТМ",AA33="Да"),Настройки!$B$10*Настройки!$A$53,0)))</f>
        <v/>
      </c>
      <c r="AF33" s="34"/>
      <c r="AG33" s="34"/>
      <c r="AH33" s="34"/>
      <c r="AI33" s="34"/>
      <c r="AJ33" s="35" t="str">
        <f aca="false">IF(OR($A33="",AF33=""),"",MIN(IF($B33="ТТП",IF(AF33/Настройки!$C$11&gt;=Настройки!$B$23,5,IF(AF33/Настройки!$C$11&gt;=Настройки!$B$24,4,IF(AF33/Настройки!$C$11&gt;=Настройки!$B$25,3,2))),IF($B33="ТТМ",IF(AF33/Настройки!$C$11&gt;=Настройки!$B$29,5,IF(AF33/Настройки!$C$11&gt;=Настройки!$B$30,4,IF(AF33/Настройки!$C$11&gt;=Настройки!$B$31,3,2))),"")),IF($B33&lt;&gt;"ТТП",5,IF(AG33="Да",5,4)),IFERROR(VLOOKUP(AH33,Настройки!$A$35:$B$37,2,FALSE()),5),IFERROR(VLOOKUP(AI33,Настройки!$A$41:$B$44,2,FALSE()),5)))</f>
        <v/>
      </c>
      <c r="AK33" s="36" t="str">
        <f aca="false">IF(AJ33="","",MIN(Настройки!$B$11,Настройки!$B$11*VLOOKUP(AJ33,Настройки!$A$16:$B$19,2,FALSE())+IF(AND($B33="ТТМ",AG33="Да"),Настройки!$B$11*Настройки!$A$53,0)))</f>
        <v/>
      </c>
      <c r="AL33" s="34"/>
      <c r="AM33" s="34"/>
      <c r="AN33" s="34"/>
      <c r="AO33" s="35" t="str">
        <f aca="false">IF(OR($A33="",AL33=""),"",MIN(IF($B33="ТТП",IF(AL33/Настройки!$C$57&gt;=Настройки!$B$23,5,IF(AL33/Настройки!$C$57&gt;=Настройки!$B$24,4,IF(AL33/Настройки!$C$57&gt;=Настройки!$B$25,3,2))),IF($B33="ТТМ",IF(AL33/Настройки!$C$57&gt;=Настройки!$B$29,5,IF(AL33/Настройки!$C$57&gt;=Настройки!$B$30,4,IF(AL33/Настройки!$C$57&gt;=Настройки!$B$31,3,2))),"")),IF($B33&lt;&gt;"ТТП",5,IF(AM33="Да",5,4)),IFERROR(VLOOKUP(AN33,Настройки!$A$35:$B$37,2,FALSE()),5)))</f>
        <v/>
      </c>
      <c r="AP33" s="36" t="str">
        <f aca="false">IF(AO33="","",MIN(Настройки!$B$57,Настройки!$B$57*VLOOKUP(AO33,Настройки!$A$16:$B$19,2,FALSE())+IF(AND($B33="ТТМ",AM33="Да"),Настройки!$B$57*Настройки!$A$53,0)))</f>
        <v/>
      </c>
      <c r="AQ33" s="36" t="str">
        <f aca="false">IF($A33="","",SUM(G33,M33,S33,Y33,AE33,AK33)+IF(AP33="",0,AP33))</f>
        <v/>
      </c>
      <c r="AR33" s="37" t="str">
        <f aca="false">IF(AQ33="","",VLOOKUP(AQ33,Настройки!$A$48:$B$51,2,TRUE()))</f>
        <v/>
      </c>
    </row>
    <row r="34" customFormat="false" ht="15" hidden="false" customHeight="true" outlineLevel="0" collapsed="false">
      <c r="A34" s="10"/>
      <c r="B34" s="34"/>
      <c r="C34" s="34"/>
      <c r="D34" s="34"/>
      <c r="E34" s="34"/>
      <c r="F34" s="35" t="str">
        <f aca="false">IF(OR($A34="",C34=""),"",MIN(IF($B34="ТТП",IF(C34/Настройки!$C$6&gt;=Настройки!$B$23,5,IF(C34/Настройки!$C$6&gt;=Настройки!$B$24,4,IF(C34/Настройки!$C$6&gt;=Настройки!$B$25,3,2))),IF($B34="ТТМ",IF(C34/Настройки!$C$6&gt;=Настройки!$B$29,5,IF(C34/Настройки!$C$6&gt;=Настройки!$B$30,4,IF(C34/Настройки!$C$6&gt;=Настройки!$B$31,3,2))),"")),IFERROR(VLOOKUP(D34,Настройки!$A$35:$B$37,2,FALSE()),5),IFERROR(VLOOKUP(E34,Настройки!$A$41:$B$44,2,FALSE()),5)))</f>
        <v/>
      </c>
      <c r="G34" s="36" t="str">
        <f aca="false">IF(F34="","",Настройки!$B$6*VLOOKUP(F34,Настройки!$A$16:$B$19,2,FALSE()))</f>
        <v/>
      </c>
      <c r="H34" s="34"/>
      <c r="I34" s="34"/>
      <c r="J34" s="34"/>
      <c r="K34" s="34"/>
      <c r="L34" s="35" t="str">
        <f aca="false">IF(OR($A34="",H34=""),"",MIN(IF($B34="ТТП",IF(H34/Настройки!$C$7&gt;=Настройки!$B$23,5,IF(H34/Настройки!$C$7&gt;=Настройки!$B$24,4,IF(H34/Настройки!$C$7&gt;=Настройки!$B$25,3,2))),IF($B34="ТТМ",IF(H34/Настройки!$C$7&gt;=Настройки!$B$29,5,IF(H34/Настройки!$C$7&gt;=Настройки!$B$30,4,IF(H34/Настройки!$C$7&gt;=Настройки!$B$31,3,2))),"")),IF($B34&lt;&gt;"ТТП",5,IF(I34="Да",5,4)),IFERROR(VLOOKUP(J34,Настройки!$A$35:$B$37,2,FALSE()),5),IFERROR(VLOOKUP(K34,Настройки!$A$41:$B$44,2,FALSE()),5)))</f>
        <v/>
      </c>
      <c r="M34" s="36" t="str">
        <f aca="false">IF(L34="","",MIN(Настройки!$B$7,Настройки!$B$7*VLOOKUP(L34,Настройки!$A$16:$B$19,2,FALSE())+IF(AND($B34="ТТМ",I34="Да"),Настройки!$B$7*Настройки!$A$53,0)))</f>
        <v/>
      </c>
      <c r="N34" s="34"/>
      <c r="O34" s="34"/>
      <c r="P34" s="34"/>
      <c r="Q34" s="34"/>
      <c r="R34" s="35" t="str">
        <f aca="false">IF(OR($A34="",N34=""),"",MIN(IF($B34="ТТП",IF(N34/Настройки!$C$8&gt;=Настройки!$B$23,5,IF(N34/Настройки!$C$8&gt;=Настройки!$B$24,4,IF(N34/Настройки!$C$8&gt;=Настройки!$B$25,3,2))),IF($B34="ТТМ",IF(N34/Настройки!$C$8&gt;=Настройки!$B$29,5,IF(N34/Настройки!$C$8&gt;=Настройки!$B$30,4,IF(N34/Настройки!$C$8&gt;=Настройки!$B$31,3,2))),"")),IF($B34&lt;&gt;"ТТП",5,IF(O34="Да",5,4)),IFERROR(VLOOKUP(P34,Настройки!$A$35:$B$37,2,FALSE()),5),IFERROR(VLOOKUP(Q34,Настройки!$A$41:$B$44,2,FALSE()),5)))</f>
        <v/>
      </c>
      <c r="S34" s="36" t="str">
        <f aca="false">IF(R34="","",MIN(Настройки!$B$8,Настройки!$B$8*VLOOKUP(R34,Настройки!$A$16:$B$19,2,FALSE())+IF(AND($B34="ТТМ",O34="Да"),Настройки!$B$8*Настройки!$A$53,0)))</f>
        <v/>
      </c>
      <c r="T34" s="34"/>
      <c r="U34" s="34"/>
      <c r="V34" s="34"/>
      <c r="W34" s="34"/>
      <c r="X34" s="35" t="str">
        <f aca="false">IF(OR($A34="",T34=""),"",MIN(IF($B34="ТТП",IF(T34/Настройки!$C$9&gt;=Настройки!$B$23,5,IF(T34/Настройки!$C$9&gt;=Настройки!$B$24,4,IF(T34/Настройки!$C$9&gt;=Настройки!$B$25,3,2))),IF($B34="ТТМ",IF(T34/Настройки!$C$9&gt;=Настройки!$B$29,5,IF(T34/Настройки!$C$9&gt;=Настройки!$B$30,4,IF(T34/Настройки!$C$9&gt;=Настройки!$B$31,3,2))),"")),IF($B34&lt;&gt;"ТТП",5,IF(U34="Да",5,4)),IFERROR(VLOOKUP(V34,Настройки!$A$35:$B$37,2,FALSE()),5),IFERROR(VLOOKUP(W34,Настройки!$A$41:$B$44,2,FALSE()),5)))</f>
        <v/>
      </c>
      <c r="Y34" s="36" t="str">
        <f aca="false">IF(X34="","",MIN(Настройки!$B$9,Настройки!$B$9*VLOOKUP(X34,Настройки!$A$16:$B$19,2,FALSE())+IF(AND($B34="ТТМ",U34="Да"),Настройки!$B$9*Настройки!$A$53,0)))</f>
        <v/>
      </c>
      <c r="Z34" s="34"/>
      <c r="AA34" s="34"/>
      <c r="AB34" s="34"/>
      <c r="AC34" s="34"/>
      <c r="AD34" s="35" t="str">
        <f aca="false">IF(OR($A34="",Z34=""),"",MIN(IF($B34="ТТП",IF(Z34/Настройки!$C$10&gt;=Настройки!$B$23,5,IF(Z34/Настройки!$C$10&gt;=Настройки!$B$24,4,IF(Z34/Настройки!$C$10&gt;=Настройки!$B$25,3,2))),IF($B34="ТТМ",IF(Z34/Настройки!$C$10&gt;=Настройки!$B$29,5,IF(Z34/Настройки!$C$10&gt;=Настройки!$B$30,4,IF(Z34/Настройки!$C$10&gt;=Настройки!$B$31,3,2))),"")),IF($B34&lt;&gt;"ТТП",5,IF(AA34="Да",5,4)),IFERROR(VLOOKUP(AB34,Настройки!$A$35:$B$37,2,FALSE()),5),IFERROR(VLOOKUP(AC34,Настройки!$A$41:$B$44,2,FALSE()),5)))</f>
        <v/>
      </c>
      <c r="AE34" s="36" t="str">
        <f aca="false">IF(AD34="","",MIN(Настройки!$B$10,Настройки!$B$10*VLOOKUP(AD34,Настройки!$A$16:$B$19,2,FALSE())+IF(AND($B34="ТТМ",AA34="Да"),Настройки!$B$10*Настройки!$A$53,0)))</f>
        <v/>
      </c>
      <c r="AF34" s="34"/>
      <c r="AG34" s="34"/>
      <c r="AH34" s="34"/>
      <c r="AI34" s="34"/>
      <c r="AJ34" s="35" t="str">
        <f aca="false">IF(OR($A34="",AF34=""),"",MIN(IF($B34="ТТП",IF(AF34/Настройки!$C$11&gt;=Настройки!$B$23,5,IF(AF34/Настройки!$C$11&gt;=Настройки!$B$24,4,IF(AF34/Настройки!$C$11&gt;=Настройки!$B$25,3,2))),IF($B34="ТТМ",IF(AF34/Настройки!$C$11&gt;=Настройки!$B$29,5,IF(AF34/Настройки!$C$11&gt;=Настройки!$B$30,4,IF(AF34/Настройки!$C$11&gt;=Настройки!$B$31,3,2))),"")),IF($B34&lt;&gt;"ТТП",5,IF(AG34="Да",5,4)),IFERROR(VLOOKUP(AH34,Настройки!$A$35:$B$37,2,FALSE()),5),IFERROR(VLOOKUP(AI34,Настройки!$A$41:$B$44,2,FALSE()),5)))</f>
        <v/>
      </c>
      <c r="AK34" s="36" t="str">
        <f aca="false">IF(AJ34="","",MIN(Настройки!$B$11,Настройки!$B$11*VLOOKUP(AJ34,Настройки!$A$16:$B$19,2,FALSE())+IF(AND($B34="ТТМ",AG34="Да"),Настройки!$B$11*Настройки!$A$53,0)))</f>
        <v/>
      </c>
      <c r="AL34" s="34"/>
      <c r="AM34" s="34"/>
      <c r="AN34" s="34"/>
      <c r="AO34" s="35" t="str">
        <f aca="false">IF(OR($A34="",AL34=""),"",MIN(IF($B34="ТТП",IF(AL34/Настройки!$C$57&gt;=Настройки!$B$23,5,IF(AL34/Настройки!$C$57&gt;=Настройки!$B$24,4,IF(AL34/Настройки!$C$57&gt;=Настройки!$B$25,3,2))),IF($B34="ТТМ",IF(AL34/Настройки!$C$57&gt;=Настройки!$B$29,5,IF(AL34/Настройки!$C$57&gt;=Настройки!$B$30,4,IF(AL34/Настройки!$C$57&gt;=Настройки!$B$31,3,2))),"")),IF($B34&lt;&gt;"ТТП",5,IF(AM34="Да",5,4)),IFERROR(VLOOKUP(AN34,Настройки!$A$35:$B$37,2,FALSE()),5)))</f>
        <v/>
      </c>
      <c r="AP34" s="36" t="str">
        <f aca="false">IF(AO34="","",MIN(Настройки!$B$57,Настройки!$B$57*VLOOKUP(AO34,Настройки!$A$16:$B$19,2,FALSE())+IF(AND($B34="ТТМ",AM34="Да"),Настройки!$B$57*Настройки!$A$53,0)))</f>
        <v/>
      </c>
      <c r="AQ34" s="36" t="str">
        <f aca="false">IF($A34="","",SUM(G34,M34,S34,Y34,AE34,AK34)+IF(AP34="",0,AP34))</f>
        <v/>
      </c>
      <c r="AR34" s="37" t="str">
        <f aca="false">IF(AQ34="","",VLOOKUP(AQ34,Настройки!$A$48:$B$51,2,TRUE()))</f>
        <v/>
      </c>
    </row>
    <row r="35" customFormat="false" ht="15" hidden="false" customHeight="true" outlineLevel="0" collapsed="false">
      <c r="A35" s="10"/>
      <c r="B35" s="34"/>
      <c r="C35" s="34"/>
      <c r="D35" s="34"/>
      <c r="E35" s="34"/>
      <c r="F35" s="35" t="str">
        <f aca="false">IF(OR($A35="",C35=""),"",MIN(IF($B35="ТТП",IF(C35/Настройки!$C$6&gt;=Настройки!$B$23,5,IF(C35/Настройки!$C$6&gt;=Настройки!$B$24,4,IF(C35/Настройки!$C$6&gt;=Настройки!$B$25,3,2))),IF($B35="ТТМ",IF(C35/Настройки!$C$6&gt;=Настройки!$B$29,5,IF(C35/Настройки!$C$6&gt;=Настройки!$B$30,4,IF(C35/Настройки!$C$6&gt;=Настройки!$B$31,3,2))),"")),IFERROR(VLOOKUP(D35,Настройки!$A$35:$B$37,2,FALSE()),5),IFERROR(VLOOKUP(E35,Настройки!$A$41:$B$44,2,FALSE()),5)))</f>
        <v/>
      </c>
      <c r="G35" s="36" t="str">
        <f aca="false">IF(F35="","",Настройки!$B$6*VLOOKUP(F35,Настройки!$A$16:$B$19,2,FALSE()))</f>
        <v/>
      </c>
      <c r="H35" s="34"/>
      <c r="I35" s="34"/>
      <c r="J35" s="34"/>
      <c r="K35" s="34"/>
      <c r="L35" s="35" t="str">
        <f aca="false">IF(OR($A35="",H35=""),"",MIN(IF($B35="ТТП",IF(H35/Настройки!$C$7&gt;=Настройки!$B$23,5,IF(H35/Настройки!$C$7&gt;=Настройки!$B$24,4,IF(H35/Настройки!$C$7&gt;=Настройки!$B$25,3,2))),IF($B35="ТТМ",IF(H35/Настройки!$C$7&gt;=Настройки!$B$29,5,IF(H35/Настройки!$C$7&gt;=Настройки!$B$30,4,IF(H35/Настройки!$C$7&gt;=Настройки!$B$31,3,2))),"")),IF($B35&lt;&gt;"ТТП",5,IF(I35="Да",5,4)),IFERROR(VLOOKUP(J35,Настройки!$A$35:$B$37,2,FALSE()),5),IFERROR(VLOOKUP(K35,Настройки!$A$41:$B$44,2,FALSE()),5)))</f>
        <v/>
      </c>
      <c r="M35" s="36" t="str">
        <f aca="false">IF(L35="","",MIN(Настройки!$B$7,Настройки!$B$7*VLOOKUP(L35,Настройки!$A$16:$B$19,2,FALSE())+IF(AND($B35="ТТМ",I35="Да"),Настройки!$B$7*Настройки!$A$53,0)))</f>
        <v/>
      </c>
      <c r="N35" s="34"/>
      <c r="O35" s="34"/>
      <c r="P35" s="34"/>
      <c r="Q35" s="34"/>
      <c r="R35" s="35" t="str">
        <f aca="false">IF(OR($A35="",N35=""),"",MIN(IF($B35="ТТП",IF(N35/Настройки!$C$8&gt;=Настройки!$B$23,5,IF(N35/Настройки!$C$8&gt;=Настройки!$B$24,4,IF(N35/Настройки!$C$8&gt;=Настройки!$B$25,3,2))),IF($B35="ТТМ",IF(N35/Настройки!$C$8&gt;=Настройки!$B$29,5,IF(N35/Настройки!$C$8&gt;=Настройки!$B$30,4,IF(N35/Настройки!$C$8&gt;=Настройки!$B$31,3,2))),"")),IF($B35&lt;&gt;"ТТП",5,IF(O35="Да",5,4)),IFERROR(VLOOKUP(P35,Настройки!$A$35:$B$37,2,FALSE()),5),IFERROR(VLOOKUP(Q35,Настройки!$A$41:$B$44,2,FALSE()),5)))</f>
        <v/>
      </c>
      <c r="S35" s="36" t="str">
        <f aca="false">IF(R35="","",MIN(Настройки!$B$8,Настройки!$B$8*VLOOKUP(R35,Настройки!$A$16:$B$19,2,FALSE())+IF(AND($B35="ТТМ",O35="Да"),Настройки!$B$8*Настройки!$A$53,0)))</f>
        <v/>
      </c>
      <c r="T35" s="34"/>
      <c r="U35" s="34"/>
      <c r="V35" s="34"/>
      <c r="W35" s="34"/>
      <c r="X35" s="35" t="str">
        <f aca="false">IF(OR($A35="",T35=""),"",MIN(IF($B35="ТТП",IF(T35/Настройки!$C$9&gt;=Настройки!$B$23,5,IF(T35/Настройки!$C$9&gt;=Настройки!$B$24,4,IF(T35/Настройки!$C$9&gt;=Настройки!$B$25,3,2))),IF($B35="ТТМ",IF(T35/Настройки!$C$9&gt;=Настройки!$B$29,5,IF(T35/Настройки!$C$9&gt;=Настройки!$B$30,4,IF(T35/Настройки!$C$9&gt;=Настройки!$B$31,3,2))),"")),IF($B35&lt;&gt;"ТТП",5,IF(U35="Да",5,4)),IFERROR(VLOOKUP(V35,Настройки!$A$35:$B$37,2,FALSE()),5),IFERROR(VLOOKUP(W35,Настройки!$A$41:$B$44,2,FALSE()),5)))</f>
        <v/>
      </c>
      <c r="Y35" s="36" t="str">
        <f aca="false">IF(X35="","",MIN(Настройки!$B$9,Настройки!$B$9*VLOOKUP(X35,Настройки!$A$16:$B$19,2,FALSE())+IF(AND($B35="ТТМ",U35="Да"),Настройки!$B$9*Настройки!$A$53,0)))</f>
        <v/>
      </c>
      <c r="Z35" s="34"/>
      <c r="AA35" s="34"/>
      <c r="AB35" s="34"/>
      <c r="AC35" s="34"/>
      <c r="AD35" s="35" t="str">
        <f aca="false">IF(OR($A35="",Z35=""),"",MIN(IF($B35="ТТП",IF(Z35/Настройки!$C$10&gt;=Настройки!$B$23,5,IF(Z35/Настройки!$C$10&gt;=Настройки!$B$24,4,IF(Z35/Настройки!$C$10&gt;=Настройки!$B$25,3,2))),IF($B35="ТТМ",IF(Z35/Настройки!$C$10&gt;=Настройки!$B$29,5,IF(Z35/Настройки!$C$10&gt;=Настройки!$B$30,4,IF(Z35/Настройки!$C$10&gt;=Настройки!$B$31,3,2))),"")),IF($B35&lt;&gt;"ТТП",5,IF(AA35="Да",5,4)),IFERROR(VLOOKUP(AB35,Настройки!$A$35:$B$37,2,FALSE()),5),IFERROR(VLOOKUP(AC35,Настройки!$A$41:$B$44,2,FALSE()),5)))</f>
        <v/>
      </c>
      <c r="AE35" s="36" t="str">
        <f aca="false">IF(AD35="","",MIN(Настройки!$B$10,Настройки!$B$10*VLOOKUP(AD35,Настройки!$A$16:$B$19,2,FALSE())+IF(AND($B35="ТТМ",AA35="Да"),Настройки!$B$10*Настройки!$A$53,0)))</f>
        <v/>
      </c>
      <c r="AF35" s="34"/>
      <c r="AG35" s="34"/>
      <c r="AH35" s="34"/>
      <c r="AI35" s="34"/>
      <c r="AJ35" s="35" t="str">
        <f aca="false">IF(OR($A35="",AF35=""),"",MIN(IF($B35="ТТП",IF(AF35/Настройки!$C$11&gt;=Настройки!$B$23,5,IF(AF35/Настройки!$C$11&gt;=Настройки!$B$24,4,IF(AF35/Настройки!$C$11&gt;=Настройки!$B$25,3,2))),IF($B35="ТТМ",IF(AF35/Настройки!$C$11&gt;=Настройки!$B$29,5,IF(AF35/Настройки!$C$11&gt;=Настройки!$B$30,4,IF(AF35/Настройки!$C$11&gt;=Настройки!$B$31,3,2))),"")),IF($B35&lt;&gt;"ТТП",5,IF(AG35="Да",5,4)),IFERROR(VLOOKUP(AH35,Настройки!$A$35:$B$37,2,FALSE()),5),IFERROR(VLOOKUP(AI35,Настройки!$A$41:$B$44,2,FALSE()),5)))</f>
        <v/>
      </c>
      <c r="AK35" s="36" t="str">
        <f aca="false">IF(AJ35="","",MIN(Настройки!$B$11,Настройки!$B$11*VLOOKUP(AJ35,Настройки!$A$16:$B$19,2,FALSE())+IF(AND($B35="ТТМ",AG35="Да"),Настройки!$B$11*Настройки!$A$53,0)))</f>
        <v/>
      </c>
      <c r="AL35" s="34"/>
      <c r="AM35" s="34"/>
      <c r="AN35" s="34"/>
      <c r="AO35" s="35" t="str">
        <f aca="false">IF(OR($A35="",AL35=""),"",MIN(IF($B35="ТТП",IF(AL35/Настройки!$C$57&gt;=Настройки!$B$23,5,IF(AL35/Настройки!$C$57&gt;=Настройки!$B$24,4,IF(AL35/Настройки!$C$57&gt;=Настройки!$B$25,3,2))),IF($B35="ТТМ",IF(AL35/Настройки!$C$57&gt;=Настройки!$B$29,5,IF(AL35/Настройки!$C$57&gt;=Настройки!$B$30,4,IF(AL35/Настройки!$C$57&gt;=Настройки!$B$31,3,2))),"")),IF($B35&lt;&gt;"ТТП",5,IF(AM35="Да",5,4)),IFERROR(VLOOKUP(AN35,Настройки!$A$35:$B$37,2,FALSE()),5)))</f>
        <v/>
      </c>
      <c r="AP35" s="36" t="str">
        <f aca="false">IF(AO35="","",MIN(Настройки!$B$57,Настройки!$B$57*VLOOKUP(AO35,Настройки!$A$16:$B$19,2,FALSE())+IF(AND($B35="ТТМ",AM35="Да"),Настройки!$B$57*Настройки!$A$53,0)))</f>
        <v/>
      </c>
      <c r="AQ35" s="36" t="str">
        <f aca="false">IF($A35="","",SUM(G35,M35,S35,Y35,AE35,AK35)+IF(AP35="",0,AP35))</f>
        <v/>
      </c>
      <c r="AR35" s="37" t="str">
        <f aca="false">IF(AQ35="","",VLOOKUP(AQ35,Настройки!$A$48:$B$51,2,TRUE()))</f>
        <v/>
      </c>
    </row>
    <row r="36" customFormat="false" ht="15" hidden="false" customHeight="true" outlineLevel="0" collapsed="false">
      <c r="A36" s="10"/>
      <c r="B36" s="34"/>
      <c r="C36" s="34"/>
      <c r="D36" s="34"/>
      <c r="E36" s="34"/>
      <c r="F36" s="35" t="str">
        <f aca="false">IF(OR($A36="",C36=""),"",MIN(IF($B36="ТТП",IF(C36/Настройки!$C$6&gt;=Настройки!$B$23,5,IF(C36/Настройки!$C$6&gt;=Настройки!$B$24,4,IF(C36/Настройки!$C$6&gt;=Настройки!$B$25,3,2))),IF($B36="ТТМ",IF(C36/Настройки!$C$6&gt;=Настройки!$B$29,5,IF(C36/Настройки!$C$6&gt;=Настройки!$B$30,4,IF(C36/Настройки!$C$6&gt;=Настройки!$B$31,3,2))),"")),IFERROR(VLOOKUP(D36,Настройки!$A$35:$B$37,2,FALSE()),5),IFERROR(VLOOKUP(E36,Настройки!$A$41:$B$44,2,FALSE()),5)))</f>
        <v/>
      </c>
      <c r="G36" s="36" t="str">
        <f aca="false">IF(F36="","",Настройки!$B$6*VLOOKUP(F36,Настройки!$A$16:$B$19,2,FALSE()))</f>
        <v/>
      </c>
      <c r="H36" s="34"/>
      <c r="I36" s="34"/>
      <c r="J36" s="34"/>
      <c r="K36" s="34"/>
      <c r="L36" s="35" t="str">
        <f aca="false">IF(OR($A36="",H36=""),"",MIN(IF($B36="ТТП",IF(H36/Настройки!$C$7&gt;=Настройки!$B$23,5,IF(H36/Настройки!$C$7&gt;=Настройки!$B$24,4,IF(H36/Настройки!$C$7&gt;=Настройки!$B$25,3,2))),IF($B36="ТТМ",IF(H36/Настройки!$C$7&gt;=Настройки!$B$29,5,IF(H36/Настройки!$C$7&gt;=Настройки!$B$30,4,IF(H36/Настройки!$C$7&gt;=Настройки!$B$31,3,2))),"")),IF($B36&lt;&gt;"ТТП",5,IF(I36="Да",5,4)),IFERROR(VLOOKUP(J36,Настройки!$A$35:$B$37,2,FALSE()),5),IFERROR(VLOOKUP(K36,Настройки!$A$41:$B$44,2,FALSE()),5)))</f>
        <v/>
      </c>
      <c r="M36" s="36" t="str">
        <f aca="false">IF(L36="","",MIN(Настройки!$B$7,Настройки!$B$7*VLOOKUP(L36,Настройки!$A$16:$B$19,2,FALSE())+IF(AND($B36="ТТМ",I36="Да"),Настройки!$B$7*Настройки!$A$53,0)))</f>
        <v/>
      </c>
      <c r="N36" s="34"/>
      <c r="O36" s="34"/>
      <c r="P36" s="34"/>
      <c r="Q36" s="34"/>
      <c r="R36" s="35" t="str">
        <f aca="false">IF(OR($A36="",N36=""),"",MIN(IF($B36="ТТП",IF(N36/Настройки!$C$8&gt;=Настройки!$B$23,5,IF(N36/Настройки!$C$8&gt;=Настройки!$B$24,4,IF(N36/Настройки!$C$8&gt;=Настройки!$B$25,3,2))),IF($B36="ТТМ",IF(N36/Настройки!$C$8&gt;=Настройки!$B$29,5,IF(N36/Настройки!$C$8&gt;=Настройки!$B$30,4,IF(N36/Настройки!$C$8&gt;=Настройки!$B$31,3,2))),"")),IF($B36&lt;&gt;"ТТП",5,IF(O36="Да",5,4)),IFERROR(VLOOKUP(P36,Настройки!$A$35:$B$37,2,FALSE()),5),IFERROR(VLOOKUP(Q36,Настройки!$A$41:$B$44,2,FALSE()),5)))</f>
        <v/>
      </c>
      <c r="S36" s="36" t="str">
        <f aca="false">IF(R36="","",MIN(Настройки!$B$8,Настройки!$B$8*VLOOKUP(R36,Настройки!$A$16:$B$19,2,FALSE())+IF(AND($B36="ТТМ",O36="Да"),Настройки!$B$8*Настройки!$A$53,0)))</f>
        <v/>
      </c>
      <c r="T36" s="34"/>
      <c r="U36" s="34"/>
      <c r="V36" s="34"/>
      <c r="W36" s="34"/>
      <c r="X36" s="35" t="str">
        <f aca="false">IF(OR($A36="",T36=""),"",MIN(IF($B36="ТТП",IF(T36/Настройки!$C$9&gt;=Настройки!$B$23,5,IF(T36/Настройки!$C$9&gt;=Настройки!$B$24,4,IF(T36/Настройки!$C$9&gt;=Настройки!$B$25,3,2))),IF($B36="ТТМ",IF(T36/Настройки!$C$9&gt;=Настройки!$B$29,5,IF(T36/Настройки!$C$9&gt;=Настройки!$B$30,4,IF(T36/Настройки!$C$9&gt;=Настройки!$B$31,3,2))),"")),IF($B36&lt;&gt;"ТТП",5,IF(U36="Да",5,4)),IFERROR(VLOOKUP(V36,Настройки!$A$35:$B$37,2,FALSE()),5),IFERROR(VLOOKUP(W36,Настройки!$A$41:$B$44,2,FALSE()),5)))</f>
        <v/>
      </c>
      <c r="Y36" s="36" t="str">
        <f aca="false">IF(X36="","",MIN(Настройки!$B$9,Настройки!$B$9*VLOOKUP(X36,Настройки!$A$16:$B$19,2,FALSE())+IF(AND($B36="ТТМ",U36="Да"),Настройки!$B$9*Настройки!$A$53,0)))</f>
        <v/>
      </c>
      <c r="Z36" s="34"/>
      <c r="AA36" s="34"/>
      <c r="AB36" s="34"/>
      <c r="AC36" s="34"/>
      <c r="AD36" s="35" t="str">
        <f aca="false">IF(OR($A36="",Z36=""),"",MIN(IF($B36="ТТП",IF(Z36/Настройки!$C$10&gt;=Настройки!$B$23,5,IF(Z36/Настройки!$C$10&gt;=Настройки!$B$24,4,IF(Z36/Настройки!$C$10&gt;=Настройки!$B$25,3,2))),IF($B36="ТТМ",IF(Z36/Настройки!$C$10&gt;=Настройки!$B$29,5,IF(Z36/Настройки!$C$10&gt;=Настройки!$B$30,4,IF(Z36/Настройки!$C$10&gt;=Настройки!$B$31,3,2))),"")),IF($B36&lt;&gt;"ТТП",5,IF(AA36="Да",5,4)),IFERROR(VLOOKUP(AB36,Настройки!$A$35:$B$37,2,FALSE()),5),IFERROR(VLOOKUP(AC36,Настройки!$A$41:$B$44,2,FALSE()),5)))</f>
        <v/>
      </c>
      <c r="AE36" s="36" t="str">
        <f aca="false">IF(AD36="","",MIN(Настройки!$B$10,Настройки!$B$10*VLOOKUP(AD36,Настройки!$A$16:$B$19,2,FALSE())+IF(AND($B36="ТТМ",AA36="Да"),Настройки!$B$10*Настройки!$A$53,0)))</f>
        <v/>
      </c>
      <c r="AF36" s="34"/>
      <c r="AG36" s="34"/>
      <c r="AH36" s="34"/>
      <c r="AI36" s="34"/>
      <c r="AJ36" s="35" t="str">
        <f aca="false">IF(OR($A36="",AF36=""),"",MIN(IF($B36="ТТП",IF(AF36/Настройки!$C$11&gt;=Настройки!$B$23,5,IF(AF36/Настройки!$C$11&gt;=Настройки!$B$24,4,IF(AF36/Настройки!$C$11&gt;=Настройки!$B$25,3,2))),IF($B36="ТТМ",IF(AF36/Настройки!$C$11&gt;=Настройки!$B$29,5,IF(AF36/Настройки!$C$11&gt;=Настройки!$B$30,4,IF(AF36/Настройки!$C$11&gt;=Настройки!$B$31,3,2))),"")),IF($B36&lt;&gt;"ТТП",5,IF(AG36="Да",5,4)),IFERROR(VLOOKUP(AH36,Настройки!$A$35:$B$37,2,FALSE()),5),IFERROR(VLOOKUP(AI36,Настройки!$A$41:$B$44,2,FALSE()),5)))</f>
        <v/>
      </c>
      <c r="AK36" s="36" t="str">
        <f aca="false">IF(AJ36="","",MIN(Настройки!$B$11,Настройки!$B$11*VLOOKUP(AJ36,Настройки!$A$16:$B$19,2,FALSE())+IF(AND($B36="ТТМ",AG36="Да"),Настройки!$B$11*Настройки!$A$53,0)))</f>
        <v/>
      </c>
      <c r="AL36" s="34"/>
      <c r="AM36" s="34"/>
      <c r="AN36" s="34"/>
      <c r="AO36" s="35" t="str">
        <f aca="false">IF(OR($A36="",AL36=""),"",MIN(IF($B36="ТТП",IF(AL36/Настройки!$C$57&gt;=Настройки!$B$23,5,IF(AL36/Настройки!$C$57&gt;=Настройки!$B$24,4,IF(AL36/Настройки!$C$57&gt;=Настройки!$B$25,3,2))),IF($B36="ТТМ",IF(AL36/Настройки!$C$57&gt;=Настройки!$B$29,5,IF(AL36/Настройки!$C$57&gt;=Настройки!$B$30,4,IF(AL36/Настройки!$C$57&gt;=Настройки!$B$31,3,2))),"")),IF($B36&lt;&gt;"ТТП",5,IF(AM36="Да",5,4)),IFERROR(VLOOKUP(AN36,Настройки!$A$35:$B$37,2,FALSE()),5)))</f>
        <v/>
      </c>
      <c r="AP36" s="36" t="str">
        <f aca="false">IF(AO36="","",MIN(Настройки!$B$57,Настройки!$B$57*VLOOKUP(AO36,Настройки!$A$16:$B$19,2,FALSE())+IF(AND($B36="ТТМ",AM36="Да"),Настройки!$B$57*Настройки!$A$53,0)))</f>
        <v/>
      </c>
      <c r="AQ36" s="36" t="str">
        <f aca="false">IF($A36="","",SUM(G36,M36,S36,Y36,AE36,AK36)+IF(AP36="",0,AP36))</f>
        <v/>
      </c>
      <c r="AR36" s="37" t="str">
        <f aca="false">IF(AQ36="","",VLOOKUP(AQ36,Настройки!$A$48:$B$51,2,TRUE()))</f>
        <v/>
      </c>
    </row>
    <row r="37" customFormat="false" ht="15" hidden="false" customHeight="true" outlineLevel="0" collapsed="false">
      <c r="A37" s="10"/>
      <c r="B37" s="34"/>
      <c r="C37" s="34"/>
      <c r="D37" s="34"/>
      <c r="E37" s="34"/>
      <c r="F37" s="35" t="str">
        <f aca="false">IF(OR($A37="",C37=""),"",MIN(IF($B37="ТТП",IF(C37/Настройки!$C$6&gt;=Настройки!$B$23,5,IF(C37/Настройки!$C$6&gt;=Настройки!$B$24,4,IF(C37/Настройки!$C$6&gt;=Настройки!$B$25,3,2))),IF($B37="ТТМ",IF(C37/Настройки!$C$6&gt;=Настройки!$B$29,5,IF(C37/Настройки!$C$6&gt;=Настройки!$B$30,4,IF(C37/Настройки!$C$6&gt;=Настройки!$B$31,3,2))),"")),IFERROR(VLOOKUP(D37,Настройки!$A$35:$B$37,2,FALSE()),5),IFERROR(VLOOKUP(E37,Настройки!$A$41:$B$44,2,FALSE()),5)))</f>
        <v/>
      </c>
      <c r="G37" s="36" t="str">
        <f aca="false">IF(F37="","",Настройки!$B$6*VLOOKUP(F37,Настройки!$A$16:$B$19,2,FALSE()))</f>
        <v/>
      </c>
      <c r="H37" s="34"/>
      <c r="I37" s="34"/>
      <c r="J37" s="34"/>
      <c r="K37" s="34"/>
      <c r="L37" s="35" t="str">
        <f aca="false">IF(OR($A37="",H37=""),"",MIN(IF($B37="ТТП",IF(H37/Настройки!$C$7&gt;=Настройки!$B$23,5,IF(H37/Настройки!$C$7&gt;=Настройки!$B$24,4,IF(H37/Настройки!$C$7&gt;=Настройки!$B$25,3,2))),IF($B37="ТТМ",IF(H37/Настройки!$C$7&gt;=Настройки!$B$29,5,IF(H37/Настройки!$C$7&gt;=Настройки!$B$30,4,IF(H37/Настройки!$C$7&gt;=Настройки!$B$31,3,2))),"")),IF($B37&lt;&gt;"ТТП",5,IF(I37="Да",5,4)),IFERROR(VLOOKUP(J37,Настройки!$A$35:$B$37,2,FALSE()),5),IFERROR(VLOOKUP(K37,Настройки!$A$41:$B$44,2,FALSE()),5)))</f>
        <v/>
      </c>
      <c r="M37" s="36" t="str">
        <f aca="false">IF(L37="","",MIN(Настройки!$B$7,Настройки!$B$7*VLOOKUP(L37,Настройки!$A$16:$B$19,2,FALSE())+IF(AND($B37="ТТМ",I37="Да"),Настройки!$B$7*Настройки!$A$53,0)))</f>
        <v/>
      </c>
      <c r="N37" s="34"/>
      <c r="O37" s="34"/>
      <c r="P37" s="34"/>
      <c r="Q37" s="34"/>
      <c r="R37" s="35" t="str">
        <f aca="false">IF(OR($A37="",N37=""),"",MIN(IF($B37="ТТП",IF(N37/Настройки!$C$8&gt;=Настройки!$B$23,5,IF(N37/Настройки!$C$8&gt;=Настройки!$B$24,4,IF(N37/Настройки!$C$8&gt;=Настройки!$B$25,3,2))),IF($B37="ТТМ",IF(N37/Настройки!$C$8&gt;=Настройки!$B$29,5,IF(N37/Настройки!$C$8&gt;=Настройки!$B$30,4,IF(N37/Настройки!$C$8&gt;=Настройки!$B$31,3,2))),"")),IF($B37&lt;&gt;"ТТП",5,IF(O37="Да",5,4)),IFERROR(VLOOKUP(P37,Настройки!$A$35:$B$37,2,FALSE()),5),IFERROR(VLOOKUP(Q37,Настройки!$A$41:$B$44,2,FALSE()),5)))</f>
        <v/>
      </c>
      <c r="S37" s="36" t="str">
        <f aca="false">IF(R37="","",MIN(Настройки!$B$8,Настройки!$B$8*VLOOKUP(R37,Настройки!$A$16:$B$19,2,FALSE())+IF(AND($B37="ТТМ",O37="Да"),Настройки!$B$8*Настройки!$A$53,0)))</f>
        <v/>
      </c>
      <c r="T37" s="34"/>
      <c r="U37" s="34"/>
      <c r="V37" s="34"/>
      <c r="W37" s="34"/>
      <c r="X37" s="35" t="str">
        <f aca="false">IF(OR($A37="",T37=""),"",MIN(IF($B37="ТТП",IF(T37/Настройки!$C$9&gt;=Настройки!$B$23,5,IF(T37/Настройки!$C$9&gt;=Настройки!$B$24,4,IF(T37/Настройки!$C$9&gt;=Настройки!$B$25,3,2))),IF($B37="ТТМ",IF(T37/Настройки!$C$9&gt;=Настройки!$B$29,5,IF(T37/Настройки!$C$9&gt;=Настройки!$B$30,4,IF(T37/Настройки!$C$9&gt;=Настройки!$B$31,3,2))),"")),IF($B37&lt;&gt;"ТТП",5,IF(U37="Да",5,4)),IFERROR(VLOOKUP(V37,Настройки!$A$35:$B$37,2,FALSE()),5),IFERROR(VLOOKUP(W37,Настройки!$A$41:$B$44,2,FALSE()),5)))</f>
        <v/>
      </c>
      <c r="Y37" s="36" t="str">
        <f aca="false">IF(X37="","",MIN(Настройки!$B$9,Настройки!$B$9*VLOOKUP(X37,Настройки!$A$16:$B$19,2,FALSE())+IF(AND($B37="ТТМ",U37="Да"),Настройки!$B$9*Настройки!$A$53,0)))</f>
        <v/>
      </c>
      <c r="Z37" s="34"/>
      <c r="AA37" s="34"/>
      <c r="AB37" s="34"/>
      <c r="AC37" s="34"/>
      <c r="AD37" s="35" t="str">
        <f aca="false">IF(OR($A37="",Z37=""),"",MIN(IF($B37="ТТП",IF(Z37/Настройки!$C$10&gt;=Настройки!$B$23,5,IF(Z37/Настройки!$C$10&gt;=Настройки!$B$24,4,IF(Z37/Настройки!$C$10&gt;=Настройки!$B$25,3,2))),IF($B37="ТТМ",IF(Z37/Настройки!$C$10&gt;=Настройки!$B$29,5,IF(Z37/Настройки!$C$10&gt;=Настройки!$B$30,4,IF(Z37/Настройки!$C$10&gt;=Настройки!$B$31,3,2))),"")),IF($B37&lt;&gt;"ТТП",5,IF(AA37="Да",5,4)),IFERROR(VLOOKUP(AB37,Настройки!$A$35:$B$37,2,FALSE()),5),IFERROR(VLOOKUP(AC37,Настройки!$A$41:$B$44,2,FALSE()),5)))</f>
        <v/>
      </c>
      <c r="AE37" s="36" t="str">
        <f aca="false">IF(AD37="","",MIN(Настройки!$B$10,Настройки!$B$10*VLOOKUP(AD37,Настройки!$A$16:$B$19,2,FALSE())+IF(AND($B37="ТТМ",AA37="Да"),Настройки!$B$10*Настройки!$A$53,0)))</f>
        <v/>
      </c>
      <c r="AF37" s="34"/>
      <c r="AG37" s="34"/>
      <c r="AH37" s="34"/>
      <c r="AI37" s="34"/>
      <c r="AJ37" s="35" t="str">
        <f aca="false">IF(OR($A37="",AF37=""),"",MIN(IF($B37="ТТП",IF(AF37/Настройки!$C$11&gt;=Настройки!$B$23,5,IF(AF37/Настройки!$C$11&gt;=Настройки!$B$24,4,IF(AF37/Настройки!$C$11&gt;=Настройки!$B$25,3,2))),IF($B37="ТТМ",IF(AF37/Настройки!$C$11&gt;=Настройки!$B$29,5,IF(AF37/Настройки!$C$11&gt;=Настройки!$B$30,4,IF(AF37/Настройки!$C$11&gt;=Настройки!$B$31,3,2))),"")),IF($B37&lt;&gt;"ТТП",5,IF(AG37="Да",5,4)),IFERROR(VLOOKUP(AH37,Настройки!$A$35:$B$37,2,FALSE()),5),IFERROR(VLOOKUP(AI37,Настройки!$A$41:$B$44,2,FALSE()),5)))</f>
        <v/>
      </c>
      <c r="AK37" s="36" t="str">
        <f aca="false">IF(AJ37="","",MIN(Настройки!$B$11,Настройки!$B$11*VLOOKUP(AJ37,Настройки!$A$16:$B$19,2,FALSE())+IF(AND($B37="ТТМ",AG37="Да"),Настройки!$B$11*Настройки!$A$53,0)))</f>
        <v/>
      </c>
      <c r="AL37" s="34"/>
      <c r="AM37" s="34"/>
      <c r="AN37" s="34"/>
      <c r="AO37" s="35" t="str">
        <f aca="false">IF(OR($A37="",AL37=""),"",MIN(IF($B37="ТТП",IF(AL37/Настройки!$C$57&gt;=Настройки!$B$23,5,IF(AL37/Настройки!$C$57&gt;=Настройки!$B$24,4,IF(AL37/Настройки!$C$57&gt;=Настройки!$B$25,3,2))),IF($B37="ТТМ",IF(AL37/Настройки!$C$57&gt;=Настройки!$B$29,5,IF(AL37/Настройки!$C$57&gt;=Настройки!$B$30,4,IF(AL37/Настройки!$C$57&gt;=Настройки!$B$31,3,2))),"")),IF($B37&lt;&gt;"ТТП",5,IF(AM37="Да",5,4)),IFERROR(VLOOKUP(AN37,Настройки!$A$35:$B$37,2,FALSE()),5)))</f>
        <v/>
      </c>
      <c r="AP37" s="36" t="str">
        <f aca="false">IF(AO37="","",MIN(Настройки!$B$57,Настройки!$B$57*VLOOKUP(AO37,Настройки!$A$16:$B$19,2,FALSE())+IF(AND($B37="ТТМ",AM37="Да"),Настройки!$B$57*Настройки!$A$53,0)))</f>
        <v/>
      </c>
      <c r="AQ37" s="36" t="str">
        <f aca="false">IF($A37="","",SUM(G37,M37,S37,Y37,AE37,AK37)+IF(AP37="",0,AP37))</f>
        <v/>
      </c>
      <c r="AR37" s="37" t="str">
        <f aca="false">IF(AQ37="","",VLOOKUP(AQ37,Настройки!$A$48:$B$51,2,TRUE()))</f>
        <v/>
      </c>
    </row>
    <row r="38" customFormat="false" ht="15" hidden="false" customHeight="true" outlineLevel="0" collapsed="false">
      <c r="A38" s="10"/>
      <c r="B38" s="34"/>
      <c r="C38" s="34"/>
      <c r="D38" s="34"/>
      <c r="E38" s="34"/>
      <c r="F38" s="35" t="str">
        <f aca="false">IF(OR($A38="",C38=""),"",MIN(IF($B38="ТТП",IF(C38/Настройки!$C$6&gt;=Настройки!$B$23,5,IF(C38/Настройки!$C$6&gt;=Настройки!$B$24,4,IF(C38/Настройки!$C$6&gt;=Настройки!$B$25,3,2))),IF($B38="ТТМ",IF(C38/Настройки!$C$6&gt;=Настройки!$B$29,5,IF(C38/Настройки!$C$6&gt;=Настройки!$B$30,4,IF(C38/Настройки!$C$6&gt;=Настройки!$B$31,3,2))),"")),IFERROR(VLOOKUP(D38,Настройки!$A$35:$B$37,2,FALSE()),5),IFERROR(VLOOKUP(E38,Настройки!$A$41:$B$44,2,FALSE()),5)))</f>
        <v/>
      </c>
      <c r="G38" s="36" t="str">
        <f aca="false">IF(F38="","",Настройки!$B$6*VLOOKUP(F38,Настройки!$A$16:$B$19,2,FALSE()))</f>
        <v/>
      </c>
      <c r="H38" s="34"/>
      <c r="I38" s="34"/>
      <c r="J38" s="34"/>
      <c r="K38" s="34"/>
      <c r="L38" s="35" t="str">
        <f aca="false">IF(OR($A38="",H38=""),"",MIN(IF($B38="ТТП",IF(H38/Настройки!$C$7&gt;=Настройки!$B$23,5,IF(H38/Настройки!$C$7&gt;=Настройки!$B$24,4,IF(H38/Настройки!$C$7&gt;=Настройки!$B$25,3,2))),IF($B38="ТТМ",IF(H38/Настройки!$C$7&gt;=Настройки!$B$29,5,IF(H38/Настройки!$C$7&gt;=Настройки!$B$30,4,IF(H38/Настройки!$C$7&gt;=Настройки!$B$31,3,2))),"")),IF($B38&lt;&gt;"ТТП",5,IF(I38="Да",5,4)),IFERROR(VLOOKUP(J38,Настройки!$A$35:$B$37,2,FALSE()),5),IFERROR(VLOOKUP(K38,Настройки!$A$41:$B$44,2,FALSE()),5)))</f>
        <v/>
      </c>
      <c r="M38" s="36" t="str">
        <f aca="false">IF(L38="","",MIN(Настройки!$B$7,Настройки!$B$7*VLOOKUP(L38,Настройки!$A$16:$B$19,2,FALSE())+IF(AND($B38="ТТМ",I38="Да"),Настройки!$B$7*Настройки!$A$53,0)))</f>
        <v/>
      </c>
      <c r="N38" s="34"/>
      <c r="O38" s="34"/>
      <c r="P38" s="34"/>
      <c r="Q38" s="34"/>
      <c r="R38" s="35" t="str">
        <f aca="false">IF(OR($A38="",N38=""),"",MIN(IF($B38="ТТП",IF(N38/Настройки!$C$8&gt;=Настройки!$B$23,5,IF(N38/Настройки!$C$8&gt;=Настройки!$B$24,4,IF(N38/Настройки!$C$8&gt;=Настройки!$B$25,3,2))),IF($B38="ТТМ",IF(N38/Настройки!$C$8&gt;=Настройки!$B$29,5,IF(N38/Настройки!$C$8&gt;=Настройки!$B$30,4,IF(N38/Настройки!$C$8&gt;=Настройки!$B$31,3,2))),"")),IF($B38&lt;&gt;"ТТП",5,IF(O38="Да",5,4)),IFERROR(VLOOKUP(P38,Настройки!$A$35:$B$37,2,FALSE()),5),IFERROR(VLOOKUP(Q38,Настройки!$A$41:$B$44,2,FALSE()),5)))</f>
        <v/>
      </c>
      <c r="S38" s="36" t="str">
        <f aca="false">IF(R38="","",MIN(Настройки!$B$8,Настройки!$B$8*VLOOKUP(R38,Настройки!$A$16:$B$19,2,FALSE())+IF(AND($B38="ТТМ",O38="Да"),Настройки!$B$8*Настройки!$A$53,0)))</f>
        <v/>
      </c>
      <c r="T38" s="34"/>
      <c r="U38" s="34"/>
      <c r="V38" s="34"/>
      <c r="W38" s="34"/>
      <c r="X38" s="35" t="str">
        <f aca="false">IF(OR($A38="",T38=""),"",MIN(IF($B38="ТТП",IF(T38/Настройки!$C$9&gt;=Настройки!$B$23,5,IF(T38/Настройки!$C$9&gt;=Настройки!$B$24,4,IF(T38/Настройки!$C$9&gt;=Настройки!$B$25,3,2))),IF($B38="ТТМ",IF(T38/Настройки!$C$9&gt;=Настройки!$B$29,5,IF(T38/Настройки!$C$9&gt;=Настройки!$B$30,4,IF(T38/Настройки!$C$9&gt;=Настройки!$B$31,3,2))),"")),IF($B38&lt;&gt;"ТТП",5,IF(U38="Да",5,4)),IFERROR(VLOOKUP(V38,Настройки!$A$35:$B$37,2,FALSE()),5),IFERROR(VLOOKUP(W38,Настройки!$A$41:$B$44,2,FALSE()),5)))</f>
        <v/>
      </c>
      <c r="Y38" s="36" t="str">
        <f aca="false">IF(X38="","",MIN(Настройки!$B$9,Настройки!$B$9*VLOOKUP(X38,Настройки!$A$16:$B$19,2,FALSE())+IF(AND($B38="ТТМ",U38="Да"),Настройки!$B$9*Настройки!$A$53,0)))</f>
        <v/>
      </c>
      <c r="Z38" s="34"/>
      <c r="AA38" s="34"/>
      <c r="AB38" s="34"/>
      <c r="AC38" s="34"/>
      <c r="AD38" s="35" t="str">
        <f aca="false">IF(OR($A38="",Z38=""),"",MIN(IF($B38="ТТП",IF(Z38/Настройки!$C$10&gt;=Настройки!$B$23,5,IF(Z38/Настройки!$C$10&gt;=Настройки!$B$24,4,IF(Z38/Настройки!$C$10&gt;=Настройки!$B$25,3,2))),IF($B38="ТТМ",IF(Z38/Настройки!$C$10&gt;=Настройки!$B$29,5,IF(Z38/Настройки!$C$10&gt;=Настройки!$B$30,4,IF(Z38/Настройки!$C$10&gt;=Настройки!$B$31,3,2))),"")),IF($B38&lt;&gt;"ТТП",5,IF(AA38="Да",5,4)),IFERROR(VLOOKUP(AB38,Настройки!$A$35:$B$37,2,FALSE()),5),IFERROR(VLOOKUP(AC38,Настройки!$A$41:$B$44,2,FALSE()),5)))</f>
        <v/>
      </c>
      <c r="AE38" s="36" t="str">
        <f aca="false">IF(AD38="","",MIN(Настройки!$B$10,Настройки!$B$10*VLOOKUP(AD38,Настройки!$A$16:$B$19,2,FALSE())+IF(AND($B38="ТТМ",AA38="Да"),Настройки!$B$10*Настройки!$A$53,0)))</f>
        <v/>
      </c>
      <c r="AF38" s="34"/>
      <c r="AG38" s="34"/>
      <c r="AH38" s="34"/>
      <c r="AI38" s="34"/>
      <c r="AJ38" s="35" t="str">
        <f aca="false">IF(OR($A38="",AF38=""),"",MIN(IF($B38="ТТП",IF(AF38/Настройки!$C$11&gt;=Настройки!$B$23,5,IF(AF38/Настройки!$C$11&gt;=Настройки!$B$24,4,IF(AF38/Настройки!$C$11&gt;=Настройки!$B$25,3,2))),IF($B38="ТТМ",IF(AF38/Настройки!$C$11&gt;=Настройки!$B$29,5,IF(AF38/Настройки!$C$11&gt;=Настройки!$B$30,4,IF(AF38/Настройки!$C$11&gt;=Настройки!$B$31,3,2))),"")),IF($B38&lt;&gt;"ТТП",5,IF(AG38="Да",5,4)),IFERROR(VLOOKUP(AH38,Настройки!$A$35:$B$37,2,FALSE()),5),IFERROR(VLOOKUP(AI38,Настройки!$A$41:$B$44,2,FALSE()),5)))</f>
        <v/>
      </c>
      <c r="AK38" s="36" t="str">
        <f aca="false">IF(AJ38="","",MIN(Настройки!$B$11,Настройки!$B$11*VLOOKUP(AJ38,Настройки!$A$16:$B$19,2,FALSE())+IF(AND($B38="ТТМ",AG38="Да"),Настройки!$B$11*Настройки!$A$53,0)))</f>
        <v/>
      </c>
      <c r="AL38" s="34"/>
      <c r="AM38" s="34"/>
      <c r="AN38" s="34"/>
      <c r="AO38" s="35" t="str">
        <f aca="false">IF(OR($A38="",AL38=""),"",MIN(IF($B38="ТТП",IF(AL38/Настройки!$C$57&gt;=Настройки!$B$23,5,IF(AL38/Настройки!$C$57&gt;=Настройки!$B$24,4,IF(AL38/Настройки!$C$57&gt;=Настройки!$B$25,3,2))),IF($B38="ТТМ",IF(AL38/Настройки!$C$57&gt;=Настройки!$B$29,5,IF(AL38/Настройки!$C$57&gt;=Настройки!$B$30,4,IF(AL38/Настройки!$C$57&gt;=Настройки!$B$31,3,2))),"")),IF($B38&lt;&gt;"ТТП",5,IF(AM38="Да",5,4)),IFERROR(VLOOKUP(AN38,Настройки!$A$35:$B$37,2,FALSE()),5)))</f>
        <v/>
      </c>
      <c r="AP38" s="36" t="str">
        <f aca="false">IF(AO38="","",MIN(Настройки!$B$57,Настройки!$B$57*VLOOKUP(AO38,Настройки!$A$16:$B$19,2,FALSE())+IF(AND($B38="ТТМ",AM38="Да"),Настройки!$B$57*Настройки!$A$53,0)))</f>
        <v/>
      </c>
      <c r="AQ38" s="36" t="str">
        <f aca="false">IF($A38="","",SUM(G38,M38,S38,Y38,AE38,AK38)+IF(AP38="",0,AP38))</f>
        <v/>
      </c>
      <c r="AR38" s="37" t="str">
        <f aca="false">IF(AQ38="","",VLOOKUP(AQ38,Настройки!$A$48:$B$51,2,TRUE()))</f>
        <v/>
      </c>
    </row>
    <row r="39" customFormat="false" ht="15" hidden="false" customHeight="true" outlineLevel="0" collapsed="false">
      <c r="A39" s="10"/>
      <c r="B39" s="34"/>
      <c r="C39" s="34"/>
      <c r="D39" s="34"/>
      <c r="E39" s="34"/>
      <c r="F39" s="35" t="str">
        <f aca="false">IF(OR($A39="",C39=""),"",MIN(IF($B39="ТТП",IF(C39/Настройки!$C$6&gt;=Настройки!$B$23,5,IF(C39/Настройки!$C$6&gt;=Настройки!$B$24,4,IF(C39/Настройки!$C$6&gt;=Настройки!$B$25,3,2))),IF($B39="ТТМ",IF(C39/Настройки!$C$6&gt;=Настройки!$B$29,5,IF(C39/Настройки!$C$6&gt;=Настройки!$B$30,4,IF(C39/Настройки!$C$6&gt;=Настройки!$B$31,3,2))),"")),IFERROR(VLOOKUP(D39,Настройки!$A$35:$B$37,2,FALSE()),5),IFERROR(VLOOKUP(E39,Настройки!$A$41:$B$44,2,FALSE()),5)))</f>
        <v/>
      </c>
      <c r="G39" s="36" t="str">
        <f aca="false">IF(F39="","",Настройки!$B$6*VLOOKUP(F39,Настройки!$A$16:$B$19,2,FALSE()))</f>
        <v/>
      </c>
      <c r="H39" s="34"/>
      <c r="I39" s="34"/>
      <c r="J39" s="34"/>
      <c r="K39" s="34"/>
      <c r="L39" s="35" t="str">
        <f aca="false">IF(OR($A39="",H39=""),"",MIN(IF($B39="ТТП",IF(H39/Настройки!$C$7&gt;=Настройки!$B$23,5,IF(H39/Настройки!$C$7&gt;=Настройки!$B$24,4,IF(H39/Настройки!$C$7&gt;=Настройки!$B$25,3,2))),IF($B39="ТТМ",IF(H39/Настройки!$C$7&gt;=Настройки!$B$29,5,IF(H39/Настройки!$C$7&gt;=Настройки!$B$30,4,IF(H39/Настройки!$C$7&gt;=Настройки!$B$31,3,2))),"")),IF($B39&lt;&gt;"ТТП",5,IF(I39="Да",5,4)),IFERROR(VLOOKUP(J39,Настройки!$A$35:$B$37,2,FALSE()),5),IFERROR(VLOOKUP(K39,Настройки!$A$41:$B$44,2,FALSE()),5)))</f>
        <v/>
      </c>
      <c r="M39" s="36" t="str">
        <f aca="false">IF(L39="","",MIN(Настройки!$B$7,Настройки!$B$7*VLOOKUP(L39,Настройки!$A$16:$B$19,2,FALSE())+IF(AND($B39="ТТМ",I39="Да"),Настройки!$B$7*Настройки!$A$53,0)))</f>
        <v/>
      </c>
      <c r="N39" s="34"/>
      <c r="O39" s="34"/>
      <c r="P39" s="34"/>
      <c r="Q39" s="34"/>
      <c r="R39" s="35" t="str">
        <f aca="false">IF(OR($A39="",N39=""),"",MIN(IF($B39="ТТП",IF(N39/Настройки!$C$8&gt;=Настройки!$B$23,5,IF(N39/Настройки!$C$8&gt;=Настройки!$B$24,4,IF(N39/Настройки!$C$8&gt;=Настройки!$B$25,3,2))),IF($B39="ТТМ",IF(N39/Настройки!$C$8&gt;=Настройки!$B$29,5,IF(N39/Настройки!$C$8&gt;=Настройки!$B$30,4,IF(N39/Настройки!$C$8&gt;=Настройки!$B$31,3,2))),"")),IF($B39&lt;&gt;"ТТП",5,IF(O39="Да",5,4)),IFERROR(VLOOKUP(P39,Настройки!$A$35:$B$37,2,FALSE()),5),IFERROR(VLOOKUP(Q39,Настройки!$A$41:$B$44,2,FALSE()),5)))</f>
        <v/>
      </c>
      <c r="S39" s="36" t="str">
        <f aca="false">IF(R39="","",MIN(Настройки!$B$8,Настройки!$B$8*VLOOKUP(R39,Настройки!$A$16:$B$19,2,FALSE())+IF(AND($B39="ТТМ",O39="Да"),Настройки!$B$8*Настройки!$A$53,0)))</f>
        <v/>
      </c>
      <c r="T39" s="34"/>
      <c r="U39" s="34"/>
      <c r="V39" s="34"/>
      <c r="W39" s="34"/>
      <c r="X39" s="35" t="str">
        <f aca="false">IF(OR($A39="",T39=""),"",MIN(IF($B39="ТТП",IF(T39/Настройки!$C$9&gt;=Настройки!$B$23,5,IF(T39/Настройки!$C$9&gt;=Настройки!$B$24,4,IF(T39/Настройки!$C$9&gt;=Настройки!$B$25,3,2))),IF($B39="ТТМ",IF(T39/Настройки!$C$9&gt;=Настройки!$B$29,5,IF(T39/Настройки!$C$9&gt;=Настройки!$B$30,4,IF(T39/Настройки!$C$9&gt;=Настройки!$B$31,3,2))),"")),IF($B39&lt;&gt;"ТТП",5,IF(U39="Да",5,4)),IFERROR(VLOOKUP(V39,Настройки!$A$35:$B$37,2,FALSE()),5),IFERROR(VLOOKUP(W39,Настройки!$A$41:$B$44,2,FALSE()),5)))</f>
        <v/>
      </c>
      <c r="Y39" s="36" t="str">
        <f aca="false">IF(X39="","",MIN(Настройки!$B$9,Настройки!$B$9*VLOOKUP(X39,Настройки!$A$16:$B$19,2,FALSE())+IF(AND($B39="ТТМ",U39="Да"),Настройки!$B$9*Настройки!$A$53,0)))</f>
        <v/>
      </c>
      <c r="Z39" s="34"/>
      <c r="AA39" s="34"/>
      <c r="AB39" s="34"/>
      <c r="AC39" s="34"/>
      <c r="AD39" s="35" t="str">
        <f aca="false">IF(OR($A39="",Z39=""),"",MIN(IF($B39="ТТП",IF(Z39/Настройки!$C$10&gt;=Настройки!$B$23,5,IF(Z39/Настройки!$C$10&gt;=Настройки!$B$24,4,IF(Z39/Настройки!$C$10&gt;=Настройки!$B$25,3,2))),IF($B39="ТТМ",IF(Z39/Настройки!$C$10&gt;=Настройки!$B$29,5,IF(Z39/Настройки!$C$10&gt;=Настройки!$B$30,4,IF(Z39/Настройки!$C$10&gt;=Настройки!$B$31,3,2))),"")),IF($B39&lt;&gt;"ТТП",5,IF(AA39="Да",5,4)),IFERROR(VLOOKUP(AB39,Настройки!$A$35:$B$37,2,FALSE()),5),IFERROR(VLOOKUP(AC39,Настройки!$A$41:$B$44,2,FALSE()),5)))</f>
        <v/>
      </c>
      <c r="AE39" s="36" t="str">
        <f aca="false">IF(AD39="","",MIN(Настройки!$B$10,Настройки!$B$10*VLOOKUP(AD39,Настройки!$A$16:$B$19,2,FALSE())+IF(AND($B39="ТТМ",AA39="Да"),Настройки!$B$10*Настройки!$A$53,0)))</f>
        <v/>
      </c>
      <c r="AF39" s="34"/>
      <c r="AG39" s="34"/>
      <c r="AH39" s="34"/>
      <c r="AI39" s="34"/>
      <c r="AJ39" s="35" t="str">
        <f aca="false">IF(OR($A39="",AF39=""),"",MIN(IF($B39="ТТП",IF(AF39/Настройки!$C$11&gt;=Настройки!$B$23,5,IF(AF39/Настройки!$C$11&gt;=Настройки!$B$24,4,IF(AF39/Настройки!$C$11&gt;=Настройки!$B$25,3,2))),IF($B39="ТТМ",IF(AF39/Настройки!$C$11&gt;=Настройки!$B$29,5,IF(AF39/Настройки!$C$11&gt;=Настройки!$B$30,4,IF(AF39/Настройки!$C$11&gt;=Настройки!$B$31,3,2))),"")),IF($B39&lt;&gt;"ТТП",5,IF(AG39="Да",5,4)),IFERROR(VLOOKUP(AH39,Настройки!$A$35:$B$37,2,FALSE()),5),IFERROR(VLOOKUP(AI39,Настройки!$A$41:$B$44,2,FALSE()),5)))</f>
        <v/>
      </c>
      <c r="AK39" s="36" t="str">
        <f aca="false">IF(AJ39="","",MIN(Настройки!$B$11,Настройки!$B$11*VLOOKUP(AJ39,Настройки!$A$16:$B$19,2,FALSE())+IF(AND($B39="ТТМ",AG39="Да"),Настройки!$B$11*Настройки!$A$53,0)))</f>
        <v/>
      </c>
      <c r="AL39" s="34"/>
      <c r="AM39" s="34"/>
      <c r="AN39" s="34"/>
      <c r="AO39" s="35" t="str">
        <f aca="false">IF(OR($A39="",AL39=""),"",MIN(IF($B39="ТТП",IF(AL39/Настройки!$C$57&gt;=Настройки!$B$23,5,IF(AL39/Настройки!$C$57&gt;=Настройки!$B$24,4,IF(AL39/Настройки!$C$57&gt;=Настройки!$B$25,3,2))),IF($B39="ТТМ",IF(AL39/Настройки!$C$57&gt;=Настройки!$B$29,5,IF(AL39/Настройки!$C$57&gt;=Настройки!$B$30,4,IF(AL39/Настройки!$C$57&gt;=Настройки!$B$31,3,2))),"")),IF($B39&lt;&gt;"ТТП",5,IF(AM39="Да",5,4)),IFERROR(VLOOKUP(AN39,Настройки!$A$35:$B$37,2,FALSE()),5)))</f>
        <v/>
      </c>
      <c r="AP39" s="36" t="str">
        <f aca="false">IF(AO39="","",MIN(Настройки!$B$57,Настройки!$B$57*VLOOKUP(AO39,Настройки!$A$16:$B$19,2,FALSE())+IF(AND($B39="ТТМ",AM39="Да"),Настройки!$B$57*Настройки!$A$53,0)))</f>
        <v/>
      </c>
      <c r="AQ39" s="36" t="str">
        <f aca="false">IF($A39="","",SUM(G39,M39,S39,Y39,AE39,AK39)+IF(AP39="",0,AP39))</f>
        <v/>
      </c>
      <c r="AR39" s="37" t="str">
        <f aca="false">IF(AQ39="","",VLOOKUP(AQ39,Настройки!$A$48:$B$51,2,TRUE()))</f>
        <v/>
      </c>
    </row>
    <row r="40" customFormat="false" ht="15" hidden="false" customHeight="true" outlineLevel="0" collapsed="false">
      <c r="A40" s="10"/>
      <c r="B40" s="34"/>
      <c r="C40" s="34"/>
      <c r="D40" s="34"/>
      <c r="E40" s="34"/>
      <c r="F40" s="35" t="str">
        <f aca="false">IF(OR($A40="",C40=""),"",MIN(IF($B40="ТТП",IF(C40/Настройки!$C$6&gt;=Настройки!$B$23,5,IF(C40/Настройки!$C$6&gt;=Настройки!$B$24,4,IF(C40/Настройки!$C$6&gt;=Настройки!$B$25,3,2))),IF($B40="ТТМ",IF(C40/Настройки!$C$6&gt;=Настройки!$B$29,5,IF(C40/Настройки!$C$6&gt;=Настройки!$B$30,4,IF(C40/Настройки!$C$6&gt;=Настройки!$B$31,3,2))),"")),IFERROR(VLOOKUP(D40,Настройки!$A$35:$B$37,2,FALSE()),5),IFERROR(VLOOKUP(E40,Настройки!$A$41:$B$44,2,FALSE()),5)))</f>
        <v/>
      </c>
      <c r="G40" s="36" t="str">
        <f aca="false">IF(F40="","",Настройки!$B$6*VLOOKUP(F40,Настройки!$A$16:$B$19,2,FALSE()))</f>
        <v/>
      </c>
      <c r="H40" s="34"/>
      <c r="I40" s="34"/>
      <c r="J40" s="34"/>
      <c r="K40" s="34"/>
      <c r="L40" s="35" t="str">
        <f aca="false">IF(OR($A40="",H40=""),"",MIN(IF($B40="ТТП",IF(H40/Настройки!$C$7&gt;=Настройки!$B$23,5,IF(H40/Настройки!$C$7&gt;=Настройки!$B$24,4,IF(H40/Настройки!$C$7&gt;=Настройки!$B$25,3,2))),IF($B40="ТТМ",IF(H40/Настройки!$C$7&gt;=Настройки!$B$29,5,IF(H40/Настройки!$C$7&gt;=Настройки!$B$30,4,IF(H40/Настройки!$C$7&gt;=Настройки!$B$31,3,2))),"")),IF($B40&lt;&gt;"ТТП",5,IF(I40="Да",5,4)),IFERROR(VLOOKUP(J40,Настройки!$A$35:$B$37,2,FALSE()),5),IFERROR(VLOOKUP(K40,Настройки!$A$41:$B$44,2,FALSE()),5)))</f>
        <v/>
      </c>
      <c r="M40" s="36" t="str">
        <f aca="false">IF(L40="","",MIN(Настройки!$B$7,Настройки!$B$7*VLOOKUP(L40,Настройки!$A$16:$B$19,2,FALSE())+IF(AND($B40="ТТМ",I40="Да"),Настройки!$B$7*Настройки!$A$53,0)))</f>
        <v/>
      </c>
      <c r="N40" s="34"/>
      <c r="O40" s="34"/>
      <c r="P40" s="34"/>
      <c r="Q40" s="34"/>
      <c r="R40" s="35" t="str">
        <f aca="false">IF(OR($A40="",N40=""),"",MIN(IF($B40="ТТП",IF(N40/Настройки!$C$8&gt;=Настройки!$B$23,5,IF(N40/Настройки!$C$8&gt;=Настройки!$B$24,4,IF(N40/Настройки!$C$8&gt;=Настройки!$B$25,3,2))),IF($B40="ТТМ",IF(N40/Настройки!$C$8&gt;=Настройки!$B$29,5,IF(N40/Настройки!$C$8&gt;=Настройки!$B$30,4,IF(N40/Настройки!$C$8&gt;=Настройки!$B$31,3,2))),"")),IF($B40&lt;&gt;"ТТП",5,IF(O40="Да",5,4)),IFERROR(VLOOKUP(P40,Настройки!$A$35:$B$37,2,FALSE()),5),IFERROR(VLOOKUP(Q40,Настройки!$A$41:$B$44,2,FALSE()),5)))</f>
        <v/>
      </c>
      <c r="S40" s="36" t="str">
        <f aca="false">IF(R40="","",MIN(Настройки!$B$8,Настройки!$B$8*VLOOKUP(R40,Настройки!$A$16:$B$19,2,FALSE())+IF(AND($B40="ТТМ",O40="Да"),Настройки!$B$8*Настройки!$A$53,0)))</f>
        <v/>
      </c>
      <c r="T40" s="34"/>
      <c r="U40" s="34"/>
      <c r="V40" s="34"/>
      <c r="W40" s="34"/>
      <c r="X40" s="35" t="str">
        <f aca="false">IF(OR($A40="",T40=""),"",MIN(IF($B40="ТТП",IF(T40/Настройки!$C$9&gt;=Настройки!$B$23,5,IF(T40/Настройки!$C$9&gt;=Настройки!$B$24,4,IF(T40/Настройки!$C$9&gt;=Настройки!$B$25,3,2))),IF($B40="ТТМ",IF(T40/Настройки!$C$9&gt;=Настройки!$B$29,5,IF(T40/Настройки!$C$9&gt;=Настройки!$B$30,4,IF(T40/Настройки!$C$9&gt;=Настройки!$B$31,3,2))),"")),IF($B40&lt;&gt;"ТТП",5,IF(U40="Да",5,4)),IFERROR(VLOOKUP(V40,Настройки!$A$35:$B$37,2,FALSE()),5),IFERROR(VLOOKUP(W40,Настройки!$A$41:$B$44,2,FALSE()),5)))</f>
        <v/>
      </c>
      <c r="Y40" s="36" t="str">
        <f aca="false">IF(X40="","",MIN(Настройки!$B$9,Настройки!$B$9*VLOOKUP(X40,Настройки!$A$16:$B$19,2,FALSE())+IF(AND($B40="ТТМ",U40="Да"),Настройки!$B$9*Настройки!$A$53,0)))</f>
        <v/>
      </c>
      <c r="Z40" s="34"/>
      <c r="AA40" s="34"/>
      <c r="AB40" s="34"/>
      <c r="AC40" s="34"/>
      <c r="AD40" s="35" t="str">
        <f aca="false">IF(OR($A40="",Z40=""),"",MIN(IF($B40="ТТП",IF(Z40/Настройки!$C$10&gt;=Настройки!$B$23,5,IF(Z40/Настройки!$C$10&gt;=Настройки!$B$24,4,IF(Z40/Настройки!$C$10&gt;=Настройки!$B$25,3,2))),IF($B40="ТТМ",IF(Z40/Настройки!$C$10&gt;=Настройки!$B$29,5,IF(Z40/Настройки!$C$10&gt;=Настройки!$B$30,4,IF(Z40/Настройки!$C$10&gt;=Настройки!$B$31,3,2))),"")),IF($B40&lt;&gt;"ТТП",5,IF(AA40="Да",5,4)),IFERROR(VLOOKUP(AB40,Настройки!$A$35:$B$37,2,FALSE()),5),IFERROR(VLOOKUP(AC40,Настройки!$A$41:$B$44,2,FALSE()),5)))</f>
        <v/>
      </c>
      <c r="AE40" s="36" t="str">
        <f aca="false">IF(AD40="","",MIN(Настройки!$B$10,Настройки!$B$10*VLOOKUP(AD40,Настройки!$A$16:$B$19,2,FALSE())+IF(AND($B40="ТТМ",AA40="Да"),Настройки!$B$10*Настройки!$A$53,0)))</f>
        <v/>
      </c>
      <c r="AF40" s="34"/>
      <c r="AG40" s="34"/>
      <c r="AH40" s="34"/>
      <c r="AI40" s="34"/>
      <c r="AJ40" s="35" t="str">
        <f aca="false">IF(OR($A40="",AF40=""),"",MIN(IF($B40="ТТП",IF(AF40/Настройки!$C$11&gt;=Настройки!$B$23,5,IF(AF40/Настройки!$C$11&gt;=Настройки!$B$24,4,IF(AF40/Настройки!$C$11&gt;=Настройки!$B$25,3,2))),IF($B40="ТТМ",IF(AF40/Настройки!$C$11&gt;=Настройки!$B$29,5,IF(AF40/Настройки!$C$11&gt;=Настройки!$B$30,4,IF(AF40/Настройки!$C$11&gt;=Настройки!$B$31,3,2))),"")),IF($B40&lt;&gt;"ТТП",5,IF(AG40="Да",5,4)),IFERROR(VLOOKUP(AH40,Настройки!$A$35:$B$37,2,FALSE()),5),IFERROR(VLOOKUP(AI40,Настройки!$A$41:$B$44,2,FALSE()),5)))</f>
        <v/>
      </c>
      <c r="AK40" s="36" t="str">
        <f aca="false">IF(AJ40="","",MIN(Настройки!$B$11,Настройки!$B$11*VLOOKUP(AJ40,Настройки!$A$16:$B$19,2,FALSE())+IF(AND($B40="ТТМ",AG40="Да"),Настройки!$B$11*Настройки!$A$53,0)))</f>
        <v/>
      </c>
      <c r="AL40" s="34"/>
      <c r="AM40" s="34"/>
      <c r="AN40" s="34"/>
      <c r="AO40" s="35" t="str">
        <f aca="false">IF(OR($A40="",AL40=""),"",MIN(IF($B40="ТТП",IF(AL40/Настройки!$C$57&gt;=Настройки!$B$23,5,IF(AL40/Настройки!$C$57&gt;=Настройки!$B$24,4,IF(AL40/Настройки!$C$57&gt;=Настройки!$B$25,3,2))),IF($B40="ТТМ",IF(AL40/Настройки!$C$57&gt;=Настройки!$B$29,5,IF(AL40/Настройки!$C$57&gt;=Настройки!$B$30,4,IF(AL40/Настройки!$C$57&gt;=Настройки!$B$31,3,2))),"")),IF($B40&lt;&gt;"ТТП",5,IF(AM40="Да",5,4)),IFERROR(VLOOKUP(AN40,Настройки!$A$35:$B$37,2,FALSE()),5)))</f>
        <v/>
      </c>
      <c r="AP40" s="36" t="str">
        <f aca="false">IF(AO40="","",MIN(Настройки!$B$57,Настройки!$B$57*VLOOKUP(AO40,Настройки!$A$16:$B$19,2,FALSE())+IF(AND($B40="ТТМ",AM40="Да"),Настройки!$B$57*Настройки!$A$53,0)))</f>
        <v/>
      </c>
      <c r="AQ40" s="36" t="str">
        <f aca="false">IF($A40="","",SUM(G40,M40,S40,Y40,AE40,AK40)+IF(AP40="",0,AP40))</f>
        <v/>
      </c>
      <c r="AR40" s="37" t="str">
        <f aca="false">IF(AQ40="","",VLOOKUP(AQ40,Настройки!$A$48:$B$51,2,TRUE()))</f>
        <v/>
      </c>
    </row>
    <row r="41" customFormat="false" ht="15" hidden="false" customHeight="true" outlineLevel="0" collapsed="false">
      <c r="A41" s="10"/>
      <c r="B41" s="34"/>
      <c r="C41" s="34"/>
      <c r="D41" s="34"/>
      <c r="E41" s="34"/>
      <c r="F41" s="35" t="str">
        <f aca="false">IF(OR($A41="",C41=""),"",MIN(IF($B41="ТТП",IF(C41/Настройки!$C$6&gt;=Настройки!$B$23,5,IF(C41/Настройки!$C$6&gt;=Настройки!$B$24,4,IF(C41/Настройки!$C$6&gt;=Настройки!$B$25,3,2))),IF($B41="ТТМ",IF(C41/Настройки!$C$6&gt;=Настройки!$B$29,5,IF(C41/Настройки!$C$6&gt;=Настройки!$B$30,4,IF(C41/Настройки!$C$6&gt;=Настройки!$B$31,3,2))),"")),IFERROR(VLOOKUP(D41,Настройки!$A$35:$B$37,2,FALSE()),5),IFERROR(VLOOKUP(E41,Настройки!$A$41:$B$44,2,FALSE()),5)))</f>
        <v/>
      </c>
      <c r="G41" s="36" t="str">
        <f aca="false">IF(F41="","",Настройки!$B$6*VLOOKUP(F41,Настройки!$A$16:$B$19,2,FALSE()))</f>
        <v/>
      </c>
      <c r="H41" s="34"/>
      <c r="I41" s="34"/>
      <c r="J41" s="34"/>
      <c r="K41" s="34"/>
      <c r="L41" s="35" t="str">
        <f aca="false">IF(OR($A41="",H41=""),"",MIN(IF($B41="ТТП",IF(H41/Настройки!$C$7&gt;=Настройки!$B$23,5,IF(H41/Настройки!$C$7&gt;=Настройки!$B$24,4,IF(H41/Настройки!$C$7&gt;=Настройки!$B$25,3,2))),IF($B41="ТТМ",IF(H41/Настройки!$C$7&gt;=Настройки!$B$29,5,IF(H41/Настройки!$C$7&gt;=Настройки!$B$30,4,IF(H41/Настройки!$C$7&gt;=Настройки!$B$31,3,2))),"")),IF($B41&lt;&gt;"ТТП",5,IF(I41="Да",5,4)),IFERROR(VLOOKUP(J41,Настройки!$A$35:$B$37,2,FALSE()),5),IFERROR(VLOOKUP(K41,Настройки!$A$41:$B$44,2,FALSE()),5)))</f>
        <v/>
      </c>
      <c r="M41" s="36" t="str">
        <f aca="false">IF(L41="","",MIN(Настройки!$B$7,Настройки!$B$7*VLOOKUP(L41,Настройки!$A$16:$B$19,2,FALSE())+IF(AND($B41="ТТМ",I41="Да"),Настройки!$B$7*Настройки!$A$53,0)))</f>
        <v/>
      </c>
      <c r="N41" s="34"/>
      <c r="O41" s="34"/>
      <c r="P41" s="34"/>
      <c r="Q41" s="34"/>
      <c r="R41" s="35" t="str">
        <f aca="false">IF(OR($A41="",N41=""),"",MIN(IF($B41="ТТП",IF(N41/Настройки!$C$8&gt;=Настройки!$B$23,5,IF(N41/Настройки!$C$8&gt;=Настройки!$B$24,4,IF(N41/Настройки!$C$8&gt;=Настройки!$B$25,3,2))),IF($B41="ТТМ",IF(N41/Настройки!$C$8&gt;=Настройки!$B$29,5,IF(N41/Настройки!$C$8&gt;=Настройки!$B$30,4,IF(N41/Настройки!$C$8&gt;=Настройки!$B$31,3,2))),"")),IF($B41&lt;&gt;"ТТП",5,IF(O41="Да",5,4)),IFERROR(VLOOKUP(P41,Настройки!$A$35:$B$37,2,FALSE()),5),IFERROR(VLOOKUP(Q41,Настройки!$A$41:$B$44,2,FALSE()),5)))</f>
        <v/>
      </c>
      <c r="S41" s="36" t="str">
        <f aca="false">IF(R41="","",MIN(Настройки!$B$8,Настройки!$B$8*VLOOKUP(R41,Настройки!$A$16:$B$19,2,FALSE())+IF(AND($B41="ТТМ",O41="Да"),Настройки!$B$8*Настройки!$A$53,0)))</f>
        <v/>
      </c>
      <c r="T41" s="34"/>
      <c r="U41" s="34"/>
      <c r="V41" s="34"/>
      <c r="W41" s="34"/>
      <c r="X41" s="35" t="str">
        <f aca="false">IF(OR($A41="",T41=""),"",MIN(IF($B41="ТТП",IF(T41/Настройки!$C$9&gt;=Настройки!$B$23,5,IF(T41/Настройки!$C$9&gt;=Настройки!$B$24,4,IF(T41/Настройки!$C$9&gt;=Настройки!$B$25,3,2))),IF($B41="ТТМ",IF(T41/Настройки!$C$9&gt;=Настройки!$B$29,5,IF(T41/Настройки!$C$9&gt;=Настройки!$B$30,4,IF(T41/Настройки!$C$9&gt;=Настройки!$B$31,3,2))),"")),IF($B41&lt;&gt;"ТТП",5,IF(U41="Да",5,4)),IFERROR(VLOOKUP(V41,Настройки!$A$35:$B$37,2,FALSE()),5),IFERROR(VLOOKUP(W41,Настройки!$A$41:$B$44,2,FALSE()),5)))</f>
        <v/>
      </c>
      <c r="Y41" s="36" t="str">
        <f aca="false">IF(X41="","",MIN(Настройки!$B$9,Настройки!$B$9*VLOOKUP(X41,Настройки!$A$16:$B$19,2,FALSE())+IF(AND($B41="ТТМ",U41="Да"),Настройки!$B$9*Настройки!$A$53,0)))</f>
        <v/>
      </c>
      <c r="Z41" s="34"/>
      <c r="AA41" s="34"/>
      <c r="AB41" s="34"/>
      <c r="AC41" s="34"/>
      <c r="AD41" s="35" t="str">
        <f aca="false">IF(OR($A41="",Z41=""),"",MIN(IF($B41="ТТП",IF(Z41/Настройки!$C$10&gt;=Настройки!$B$23,5,IF(Z41/Настройки!$C$10&gt;=Настройки!$B$24,4,IF(Z41/Настройки!$C$10&gt;=Настройки!$B$25,3,2))),IF($B41="ТТМ",IF(Z41/Настройки!$C$10&gt;=Настройки!$B$29,5,IF(Z41/Настройки!$C$10&gt;=Настройки!$B$30,4,IF(Z41/Настройки!$C$10&gt;=Настройки!$B$31,3,2))),"")),IF($B41&lt;&gt;"ТТП",5,IF(AA41="Да",5,4)),IFERROR(VLOOKUP(AB41,Настройки!$A$35:$B$37,2,FALSE()),5),IFERROR(VLOOKUP(AC41,Настройки!$A$41:$B$44,2,FALSE()),5)))</f>
        <v/>
      </c>
      <c r="AE41" s="36" t="str">
        <f aca="false">IF(AD41="","",MIN(Настройки!$B$10,Настройки!$B$10*VLOOKUP(AD41,Настройки!$A$16:$B$19,2,FALSE())+IF(AND($B41="ТТМ",AA41="Да"),Настройки!$B$10*Настройки!$A$53,0)))</f>
        <v/>
      </c>
      <c r="AF41" s="34"/>
      <c r="AG41" s="34"/>
      <c r="AH41" s="34"/>
      <c r="AI41" s="34"/>
      <c r="AJ41" s="35" t="str">
        <f aca="false">IF(OR($A41="",AF41=""),"",MIN(IF($B41="ТТП",IF(AF41/Настройки!$C$11&gt;=Настройки!$B$23,5,IF(AF41/Настройки!$C$11&gt;=Настройки!$B$24,4,IF(AF41/Настройки!$C$11&gt;=Настройки!$B$25,3,2))),IF($B41="ТТМ",IF(AF41/Настройки!$C$11&gt;=Настройки!$B$29,5,IF(AF41/Настройки!$C$11&gt;=Настройки!$B$30,4,IF(AF41/Настройки!$C$11&gt;=Настройки!$B$31,3,2))),"")),IF($B41&lt;&gt;"ТТП",5,IF(AG41="Да",5,4)),IFERROR(VLOOKUP(AH41,Настройки!$A$35:$B$37,2,FALSE()),5),IFERROR(VLOOKUP(AI41,Настройки!$A$41:$B$44,2,FALSE()),5)))</f>
        <v/>
      </c>
      <c r="AK41" s="36" t="str">
        <f aca="false">IF(AJ41="","",MIN(Настройки!$B$11,Настройки!$B$11*VLOOKUP(AJ41,Настройки!$A$16:$B$19,2,FALSE())+IF(AND($B41="ТТМ",AG41="Да"),Настройки!$B$11*Настройки!$A$53,0)))</f>
        <v/>
      </c>
      <c r="AL41" s="34"/>
      <c r="AM41" s="34"/>
      <c r="AN41" s="34"/>
      <c r="AO41" s="35" t="str">
        <f aca="false">IF(OR($A41="",AL41=""),"",MIN(IF($B41="ТТП",IF(AL41/Настройки!$C$57&gt;=Настройки!$B$23,5,IF(AL41/Настройки!$C$57&gt;=Настройки!$B$24,4,IF(AL41/Настройки!$C$57&gt;=Настройки!$B$25,3,2))),IF($B41="ТТМ",IF(AL41/Настройки!$C$57&gt;=Настройки!$B$29,5,IF(AL41/Настройки!$C$57&gt;=Настройки!$B$30,4,IF(AL41/Настройки!$C$57&gt;=Настройки!$B$31,3,2))),"")),IF($B41&lt;&gt;"ТТП",5,IF(AM41="Да",5,4)),IFERROR(VLOOKUP(AN41,Настройки!$A$35:$B$37,2,FALSE()),5)))</f>
        <v/>
      </c>
      <c r="AP41" s="36" t="str">
        <f aca="false">IF(AO41="","",MIN(Настройки!$B$57,Настройки!$B$57*VLOOKUP(AO41,Настройки!$A$16:$B$19,2,FALSE())+IF(AND($B41="ТТМ",AM41="Да"),Настройки!$B$57*Настройки!$A$53,0)))</f>
        <v/>
      </c>
      <c r="AQ41" s="36" t="str">
        <f aca="false">IF($A41="","",SUM(G41,M41,S41,Y41,AE41,AK41)+IF(AP41="",0,AP41))</f>
        <v/>
      </c>
      <c r="AR41" s="37" t="str">
        <f aca="false">IF(AQ41="","",VLOOKUP(AQ41,Настройки!$A$48:$B$51,2,TRUE()))</f>
        <v/>
      </c>
    </row>
    <row r="42" customFormat="false" ht="15" hidden="false" customHeight="true" outlineLevel="0" collapsed="false">
      <c r="A42" s="10"/>
      <c r="B42" s="34"/>
      <c r="C42" s="34"/>
      <c r="D42" s="34"/>
      <c r="E42" s="34"/>
      <c r="F42" s="35" t="str">
        <f aca="false">IF(OR($A42="",C42=""),"",MIN(IF($B42="ТТП",IF(C42/Настройки!$C$6&gt;=Настройки!$B$23,5,IF(C42/Настройки!$C$6&gt;=Настройки!$B$24,4,IF(C42/Настройки!$C$6&gt;=Настройки!$B$25,3,2))),IF($B42="ТТМ",IF(C42/Настройки!$C$6&gt;=Настройки!$B$29,5,IF(C42/Настройки!$C$6&gt;=Настройки!$B$30,4,IF(C42/Настройки!$C$6&gt;=Настройки!$B$31,3,2))),"")),IFERROR(VLOOKUP(D42,Настройки!$A$35:$B$37,2,FALSE()),5),IFERROR(VLOOKUP(E42,Настройки!$A$41:$B$44,2,FALSE()),5)))</f>
        <v/>
      </c>
      <c r="G42" s="36" t="str">
        <f aca="false">IF(F42="","",Настройки!$B$6*VLOOKUP(F42,Настройки!$A$16:$B$19,2,FALSE()))</f>
        <v/>
      </c>
      <c r="H42" s="34"/>
      <c r="I42" s="34"/>
      <c r="J42" s="34"/>
      <c r="K42" s="34"/>
      <c r="L42" s="35" t="str">
        <f aca="false">IF(OR($A42="",H42=""),"",MIN(IF($B42="ТТП",IF(H42/Настройки!$C$7&gt;=Настройки!$B$23,5,IF(H42/Настройки!$C$7&gt;=Настройки!$B$24,4,IF(H42/Настройки!$C$7&gt;=Настройки!$B$25,3,2))),IF($B42="ТТМ",IF(H42/Настройки!$C$7&gt;=Настройки!$B$29,5,IF(H42/Настройки!$C$7&gt;=Настройки!$B$30,4,IF(H42/Настройки!$C$7&gt;=Настройки!$B$31,3,2))),"")),IF($B42&lt;&gt;"ТТП",5,IF(I42="Да",5,4)),IFERROR(VLOOKUP(J42,Настройки!$A$35:$B$37,2,FALSE()),5),IFERROR(VLOOKUP(K42,Настройки!$A$41:$B$44,2,FALSE()),5)))</f>
        <v/>
      </c>
      <c r="M42" s="36" t="str">
        <f aca="false">IF(L42="","",MIN(Настройки!$B$7,Настройки!$B$7*VLOOKUP(L42,Настройки!$A$16:$B$19,2,FALSE())+IF(AND($B42="ТТМ",I42="Да"),Настройки!$B$7*Настройки!$A$53,0)))</f>
        <v/>
      </c>
      <c r="N42" s="34"/>
      <c r="O42" s="34"/>
      <c r="P42" s="34"/>
      <c r="Q42" s="34"/>
      <c r="R42" s="35" t="str">
        <f aca="false">IF(OR($A42="",N42=""),"",MIN(IF($B42="ТТП",IF(N42/Настройки!$C$8&gt;=Настройки!$B$23,5,IF(N42/Настройки!$C$8&gt;=Настройки!$B$24,4,IF(N42/Настройки!$C$8&gt;=Настройки!$B$25,3,2))),IF($B42="ТТМ",IF(N42/Настройки!$C$8&gt;=Настройки!$B$29,5,IF(N42/Настройки!$C$8&gt;=Настройки!$B$30,4,IF(N42/Настройки!$C$8&gt;=Настройки!$B$31,3,2))),"")),IF($B42&lt;&gt;"ТТП",5,IF(O42="Да",5,4)),IFERROR(VLOOKUP(P42,Настройки!$A$35:$B$37,2,FALSE()),5),IFERROR(VLOOKUP(Q42,Настройки!$A$41:$B$44,2,FALSE()),5)))</f>
        <v/>
      </c>
      <c r="S42" s="36" t="str">
        <f aca="false">IF(R42="","",MIN(Настройки!$B$8,Настройки!$B$8*VLOOKUP(R42,Настройки!$A$16:$B$19,2,FALSE())+IF(AND($B42="ТТМ",O42="Да"),Настройки!$B$8*Настройки!$A$53,0)))</f>
        <v/>
      </c>
      <c r="T42" s="34"/>
      <c r="U42" s="34"/>
      <c r="V42" s="34"/>
      <c r="W42" s="34"/>
      <c r="X42" s="35" t="str">
        <f aca="false">IF(OR($A42="",T42=""),"",MIN(IF($B42="ТТП",IF(T42/Настройки!$C$9&gt;=Настройки!$B$23,5,IF(T42/Настройки!$C$9&gt;=Настройки!$B$24,4,IF(T42/Настройки!$C$9&gt;=Настройки!$B$25,3,2))),IF($B42="ТТМ",IF(T42/Настройки!$C$9&gt;=Настройки!$B$29,5,IF(T42/Настройки!$C$9&gt;=Настройки!$B$30,4,IF(T42/Настройки!$C$9&gt;=Настройки!$B$31,3,2))),"")),IF($B42&lt;&gt;"ТТП",5,IF(U42="Да",5,4)),IFERROR(VLOOKUP(V42,Настройки!$A$35:$B$37,2,FALSE()),5),IFERROR(VLOOKUP(W42,Настройки!$A$41:$B$44,2,FALSE()),5)))</f>
        <v/>
      </c>
      <c r="Y42" s="36" t="str">
        <f aca="false">IF(X42="","",MIN(Настройки!$B$9,Настройки!$B$9*VLOOKUP(X42,Настройки!$A$16:$B$19,2,FALSE())+IF(AND($B42="ТТМ",U42="Да"),Настройки!$B$9*Настройки!$A$53,0)))</f>
        <v/>
      </c>
      <c r="Z42" s="34"/>
      <c r="AA42" s="34"/>
      <c r="AB42" s="34"/>
      <c r="AC42" s="34"/>
      <c r="AD42" s="35" t="str">
        <f aca="false">IF(OR($A42="",Z42=""),"",MIN(IF($B42="ТТП",IF(Z42/Настройки!$C$10&gt;=Настройки!$B$23,5,IF(Z42/Настройки!$C$10&gt;=Настройки!$B$24,4,IF(Z42/Настройки!$C$10&gt;=Настройки!$B$25,3,2))),IF($B42="ТТМ",IF(Z42/Настройки!$C$10&gt;=Настройки!$B$29,5,IF(Z42/Настройки!$C$10&gt;=Настройки!$B$30,4,IF(Z42/Настройки!$C$10&gt;=Настройки!$B$31,3,2))),"")),IF($B42&lt;&gt;"ТТП",5,IF(AA42="Да",5,4)),IFERROR(VLOOKUP(AB42,Настройки!$A$35:$B$37,2,FALSE()),5),IFERROR(VLOOKUP(AC42,Настройки!$A$41:$B$44,2,FALSE()),5)))</f>
        <v/>
      </c>
      <c r="AE42" s="36" t="str">
        <f aca="false">IF(AD42="","",MIN(Настройки!$B$10,Настройки!$B$10*VLOOKUP(AD42,Настройки!$A$16:$B$19,2,FALSE())+IF(AND($B42="ТТМ",AA42="Да"),Настройки!$B$10*Настройки!$A$53,0)))</f>
        <v/>
      </c>
      <c r="AF42" s="34"/>
      <c r="AG42" s="34"/>
      <c r="AH42" s="34"/>
      <c r="AI42" s="34"/>
      <c r="AJ42" s="35" t="str">
        <f aca="false">IF(OR($A42="",AF42=""),"",MIN(IF($B42="ТТП",IF(AF42/Настройки!$C$11&gt;=Настройки!$B$23,5,IF(AF42/Настройки!$C$11&gt;=Настройки!$B$24,4,IF(AF42/Настройки!$C$11&gt;=Настройки!$B$25,3,2))),IF($B42="ТТМ",IF(AF42/Настройки!$C$11&gt;=Настройки!$B$29,5,IF(AF42/Настройки!$C$11&gt;=Настройки!$B$30,4,IF(AF42/Настройки!$C$11&gt;=Настройки!$B$31,3,2))),"")),IF($B42&lt;&gt;"ТТП",5,IF(AG42="Да",5,4)),IFERROR(VLOOKUP(AH42,Настройки!$A$35:$B$37,2,FALSE()),5),IFERROR(VLOOKUP(AI42,Настройки!$A$41:$B$44,2,FALSE()),5)))</f>
        <v/>
      </c>
      <c r="AK42" s="36" t="str">
        <f aca="false">IF(AJ42="","",MIN(Настройки!$B$11,Настройки!$B$11*VLOOKUP(AJ42,Настройки!$A$16:$B$19,2,FALSE())+IF(AND($B42="ТТМ",AG42="Да"),Настройки!$B$11*Настройки!$A$53,0)))</f>
        <v/>
      </c>
      <c r="AL42" s="34"/>
      <c r="AM42" s="34"/>
      <c r="AN42" s="34"/>
      <c r="AO42" s="35" t="str">
        <f aca="false">IF(OR($A42="",AL42=""),"",MIN(IF($B42="ТТП",IF(AL42/Настройки!$C$57&gt;=Настройки!$B$23,5,IF(AL42/Настройки!$C$57&gt;=Настройки!$B$24,4,IF(AL42/Настройки!$C$57&gt;=Настройки!$B$25,3,2))),IF($B42="ТТМ",IF(AL42/Настройки!$C$57&gt;=Настройки!$B$29,5,IF(AL42/Настройки!$C$57&gt;=Настройки!$B$30,4,IF(AL42/Настройки!$C$57&gt;=Настройки!$B$31,3,2))),"")),IF($B42&lt;&gt;"ТТП",5,IF(AM42="Да",5,4)),IFERROR(VLOOKUP(AN42,Настройки!$A$35:$B$37,2,FALSE()),5)))</f>
        <v/>
      </c>
      <c r="AP42" s="36" t="str">
        <f aca="false">IF(AO42="","",MIN(Настройки!$B$57,Настройки!$B$57*VLOOKUP(AO42,Настройки!$A$16:$B$19,2,FALSE())+IF(AND($B42="ТТМ",AM42="Да"),Настройки!$B$57*Настройки!$A$53,0)))</f>
        <v/>
      </c>
      <c r="AQ42" s="36" t="str">
        <f aca="false">IF($A42="","",SUM(G42,M42,S42,Y42,AE42,AK42)+IF(AP42="",0,AP42))</f>
        <v/>
      </c>
      <c r="AR42" s="37" t="str">
        <f aca="false">IF(AQ42="","",VLOOKUP(AQ42,Настройки!$A$48:$B$51,2,TRUE()))</f>
        <v/>
      </c>
    </row>
    <row r="43" customFormat="false" ht="15" hidden="false" customHeight="true" outlineLevel="0" collapsed="false">
      <c r="A43" s="10"/>
      <c r="B43" s="34"/>
      <c r="C43" s="34"/>
      <c r="D43" s="34"/>
      <c r="E43" s="34"/>
      <c r="F43" s="35" t="str">
        <f aca="false">IF(OR($A43="",C43=""),"",MIN(IF($B43="ТТП",IF(C43/Настройки!$C$6&gt;=Настройки!$B$23,5,IF(C43/Настройки!$C$6&gt;=Настройки!$B$24,4,IF(C43/Настройки!$C$6&gt;=Настройки!$B$25,3,2))),IF($B43="ТТМ",IF(C43/Настройки!$C$6&gt;=Настройки!$B$29,5,IF(C43/Настройки!$C$6&gt;=Настройки!$B$30,4,IF(C43/Настройки!$C$6&gt;=Настройки!$B$31,3,2))),"")),IFERROR(VLOOKUP(D43,Настройки!$A$35:$B$37,2,FALSE()),5),IFERROR(VLOOKUP(E43,Настройки!$A$41:$B$44,2,FALSE()),5)))</f>
        <v/>
      </c>
      <c r="G43" s="36" t="str">
        <f aca="false">IF(F43="","",Настройки!$B$6*VLOOKUP(F43,Настройки!$A$16:$B$19,2,FALSE()))</f>
        <v/>
      </c>
      <c r="H43" s="34"/>
      <c r="I43" s="34"/>
      <c r="J43" s="34"/>
      <c r="K43" s="34"/>
      <c r="L43" s="35" t="str">
        <f aca="false">IF(OR($A43="",H43=""),"",MIN(IF($B43="ТТП",IF(H43/Настройки!$C$7&gt;=Настройки!$B$23,5,IF(H43/Настройки!$C$7&gt;=Настройки!$B$24,4,IF(H43/Настройки!$C$7&gt;=Настройки!$B$25,3,2))),IF($B43="ТТМ",IF(H43/Настройки!$C$7&gt;=Настройки!$B$29,5,IF(H43/Настройки!$C$7&gt;=Настройки!$B$30,4,IF(H43/Настройки!$C$7&gt;=Настройки!$B$31,3,2))),"")),IF($B43&lt;&gt;"ТТП",5,IF(I43="Да",5,4)),IFERROR(VLOOKUP(J43,Настройки!$A$35:$B$37,2,FALSE()),5),IFERROR(VLOOKUP(K43,Настройки!$A$41:$B$44,2,FALSE()),5)))</f>
        <v/>
      </c>
      <c r="M43" s="36" t="str">
        <f aca="false">IF(L43="","",MIN(Настройки!$B$7,Настройки!$B$7*VLOOKUP(L43,Настройки!$A$16:$B$19,2,FALSE())+IF(AND($B43="ТТМ",I43="Да"),Настройки!$B$7*Настройки!$A$53,0)))</f>
        <v/>
      </c>
      <c r="N43" s="34"/>
      <c r="O43" s="34"/>
      <c r="P43" s="34"/>
      <c r="Q43" s="34"/>
      <c r="R43" s="35" t="str">
        <f aca="false">IF(OR($A43="",N43=""),"",MIN(IF($B43="ТТП",IF(N43/Настройки!$C$8&gt;=Настройки!$B$23,5,IF(N43/Настройки!$C$8&gt;=Настройки!$B$24,4,IF(N43/Настройки!$C$8&gt;=Настройки!$B$25,3,2))),IF($B43="ТТМ",IF(N43/Настройки!$C$8&gt;=Настройки!$B$29,5,IF(N43/Настройки!$C$8&gt;=Настройки!$B$30,4,IF(N43/Настройки!$C$8&gt;=Настройки!$B$31,3,2))),"")),IF($B43&lt;&gt;"ТТП",5,IF(O43="Да",5,4)),IFERROR(VLOOKUP(P43,Настройки!$A$35:$B$37,2,FALSE()),5),IFERROR(VLOOKUP(Q43,Настройки!$A$41:$B$44,2,FALSE()),5)))</f>
        <v/>
      </c>
      <c r="S43" s="36" t="str">
        <f aca="false">IF(R43="","",MIN(Настройки!$B$8,Настройки!$B$8*VLOOKUP(R43,Настройки!$A$16:$B$19,2,FALSE())+IF(AND($B43="ТТМ",O43="Да"),Настройки!$B$8*Настройки!$A$53,0)))</f>
        <v/>
      </c>
      <c r="T43" s="34"/>
      <c r="U43" s="34"/>
      <c r="V43" s="34"/>
      <c r="W43" s="34"/>
      <c r="X43" s="35" t="str">
        <f aca="false">IF(OR($A43="",T43=""),"",MIN(IF($B43="ТТП",IF(T43/Настройки!$C$9&gt;=Настройки!$B$23,5,IF(T43/Настройки!$C$9&gt;=Настройки!$B$24,4,IF(T43/Настройки!$C$9&gt;=Настройки!$B$25,3,2))),IF($B43="ТТМ",IF(T43/Настройки!$C$9&gt;=Настройки!$B$29,5,IF(T43/Настройки!$C$9&gt;=Настройки!$B$30,4,IF(T43/Настройки!$C$9&gt;=Настройки!$B$31,3,2))),"")),IF($B43&lt;&gt;"ТТП",5,IF(U43="Да",5,4)),IFERROR(VLOOKUP(V43,Настройки!$A$35:$B$37,2,FALSE()),5),IFERROR(VLOOKUP(W43,Настройки!$A$41:$B$44,2,FALSE()),5)))</f>
        <v/>
      </c>
      <c r="Y43" s="36" t="str">
        <f aca="false">IF(X43="","",MIN(Настройки!$B$9,Настройки!$B$9*VLOOKUP(X43,Настройки!$A$16:$B$19,2,FALSE())+IF(AND($B43="ТТМ",U43="Да"),Настройки!$B$9*Настройки!$A$53,0)))</f>
        <v/>
      </c>
      <c r="Z43" s="34"/>
      <c r="AA43" s="34"/>
      <c r="AB43" s="34"/>
      <c r="AC43" s="34"/>
      <c r="AD43" s="35" t="str">
        <f aca="false">IF(OR($A43="",Z43=""),"",MIN(IF($B43="ТТП",IF(Z43/Настройки!$C$10&gt;=Настройки!$B$23,5,IF(Z43/Настройки!$C$10&gt;=Настройки!$B$24,4,IF(Z43/Настройки!$C$10&gt;=Настройки!$B$25,3,2))),IF($B43="ТТМ",IF(Z43/Настройки!$C$10&gt;=Настройки!$B$29,5,IF(Z43/Настройки!$C$10&gt;=Настройки!$B$30,4,IF(Z43/Настройки!$C$10&gt;=Настройки!$B$31,3,2))),"")),IF($B43&lt;&gt;"ТТП",5,IF(AA43="Да",5,4)),IFERROR(VLOOKUP(AB43,Настройки!$A$35:$B$37,2,FALSE()),5),IFERROR(VLOOKUP(AC43,Настройки!$A$41:$B$44,2,FALSE()),5)))</f>
        <v/>
      </c>
      <c r="AE43" s="36" t="str">
        <f aca="false">IF(AD43="","",MIN(Настройки!$B$10,Настройки!$B$10*VLOOKUP(AD43,Настройки!$A$16:$B$19,2,FALSE())+IF(AND($B43="ТТМ",AA43="Да"),Настройки!$B$10*Настройки!$A$53,0)))</f>
        <v/>
      </c>
      <c r="AF43" s="34"/>
      <c r="AG43" s="34"/>
      <c r="AH43" s="34"/>
      <c r="AI43" s="34"/>
      <c r="AJ43" s="35" t="str">
        <f aca="false">IF(OR($A43="",AF43=""),"",MIN(IF($B43="ТТП",IF(AF43/Настройки!$C$11&gt;=Настройки!$B$23,5,IF(AF43/Настройки!$C$11&gt;=Настройки!$B$24,4,IF(AF43/Настройки!$C$11&gt;=Настройки!$B$25,3,2))),IF($B43="ТТМ",IF(AF43/Настройки!$C$11&gt;=Настройки!$B$29,5,IF(AF43/Настройки!$C$11&gt;=Настройки!$B$30,4,IF(AF43/Настройки!$C$11&gt;=Настройки!$B$31,3,2))),"")),IF($B43&lt;&gt;"ТТП",5,IF(AG43="Да",5,4)),IFERROR(VLOOKUP(AH43,Настройки!$A$35:$B$37,2,FALSE()),5),IFERROR(VLOOKUP(AI43,Настройки!$A$41:$B$44,2,FALSE()),5)))</f>
        <v/>
      </c>
      <c r="AK43" s="36" t="str">
        <f aca="false">IF(AJ43="","",MIN(Настройки!$B$11,Настройки!$B$11*VLOOKUP(AJ43,Настройки!$A$16:$B$19,2,FALSE())+IF(AND($B43="ТТМ",AG43="Да"),Настройки!$B$11*Настройки!$A$53,0)))</f>
        <v/>
      </c>
      <c r="AL43" s="34"/>
      <c r="AM43" s="34"/>
      <c r="AN43" s="34"/>
      <c r="AO43" s="35" t="str">
        <f aca="false">IF(OR($A43="",AL43=""),"",MIN(IF($B43="ТТП",IF(AL43/Настройки!$C$57&gt;=Настройки!$B$23,5,IF(AL43/Настройки!$C$57&gt;=Настройки!$B$24,4,IF(AL43/Настройки!$C$57&gt;=Настройки!$B$25,3,2))),IF($B43="ТТМ",IF(AL43/Настройки!$C$57&gt;=Настройки!$B$29,5,IF(AL43/Настройки!$C$57&gt;=Настройки!$B$30,4,IF(AL43/Настройки!$C$57&gt;=Настройки!$B$31,3,2))),"")),IF($B43&lt;&gt;"ТТП",5,IF(AM43="Да",5,4)),IFERROR(VLOOKUP(AN43,Настройки!$A$35:$B$37,2,FALSE()),5)))</f>
        <v/>
      </c>
      <c r="AP43" s="36" t="str">
        <f aca="false">IF(AO43="","",MIN(Настройки!$B$57,Настройки!$B$57*VLOOKUP(AO43,Настройки!$A$16:$B$19,2,FALSE())+IF(AND($B43="ТТМ",AM43="Да"),Настройки!$B$57*Настройки!$A$53,0)))</f>
        <v/>
      </c>
      <c r="AQ43" s="36" t="str">
        <f aca="false">IF($A43="","",SUM(G43,M43,S43,Y43,AE43,AK43)+IF(AP43="",0,AP43))</f>
        <v/>
      </c>
      <c r="AR43" s="37" t="str">
        <f aca="false">IF(AQ43="","",VLOOKUP(AQ43,Настройки!$A$48:$B$51,2,TRUE()))</f>
        <v/>
      </c>
    </row>
    <row r="44" customFormat="false" ht="15" hidden="false" customHeight="true" outlineLevel="0" collapsed="false">
      <c r="A44" s="10"/>
      <c r="B44" s="34"/>
      <c r="C44" s="34"/>
      <c r="D44" s="34"/>
      <c r="E44" s="34"/>
      <c r="F44" s="35" t="str">
        <f aca="false">IF(OR($A44="",C44=""),"",MIN(IF($B44="ТТП",IF(C44/Настройки!$C$6&gt;=Настройки!$B$23,5,IF(C44/Настройки!$C$6&gt;=Настройки!$B$24,4,IF(C44/Настройки!$C$6&gt;=Настройки!$B$25,3,2))),IF($B44="ТТМ",IF(C44/Настройки!$C$6&gt;=Настройки!$B$29,5,IF(C44/Настройки!$C$6&gt;=Настройки!$B$30,4,IF(C44/Настройки!$C$6&gt;=Настройки!$B$31,3,2))),"")),IFERROR(VLOOKUP(D44,Настройки!$A$35:$B$37,2,FALSE()),5),IFERROR(VLOOKUP(E44,Настройки!$A$41:$B$44,2,FALSE()),5)))</f>
        <v/>
      </c>
      <c r="G44" s="36" t="str">
        <f aca="false">IF(F44="","",Настройки!$B$6*VLOOKUP(F44,Настройки!$A$16:$B$19,2,FALSE()))</f>
        <v/>
      </c>
      <c r="H44" s="34"/>
      <c r="I44" s="34"/>
      <c r="J44" s="34"/>
      <c r="K44" s="34"/>
      <c r="L44" s="35" t="str">
        <f aca="false">IF(OR($A44="",H44=""),"",MIN(IF($B44="ТТП",IF(H44/Настройки!$C$7&gt;=Настройки!$B$23,5,IF(H44/Настройки!$C$7&gt;=Настройки!$B$24,4,IF(H44/Настройки!$C$7&gt;=Настройки!$B$25,3,2))),IF($B44="ТТМ",IF(H44/Настройки!$C$7&gt;=Настройки!$B$29,5,IF(H44/Настройки!$C$7&gt;=Настройки!$B$30,4,IF(H44/Настройки!$C$7&gt;=Настройки!$B$31,3,2))),"")),IF($B44&lt;&gt;"ТТП",5,IF(I44="Да",5,4)),IFERROR(VLOOKUP(J44,Настройки!$A$35:$B$37,2,FALSE()),5),IFERROR(VLOOKUP(K44,Настройки!$A$41:$B$44,2,FALSE()),5)))</f>
        <v/>
      </c>
      <c r="M44" s="36" t="str">
        <f aca="false">IF(L44="","",MIN(Настройки!$B$7,Настройки!$B$7*VLOOKUP(L44,Настройки!$A$16:$B$19,2,FALSE())+IF(AND($B44="ТТМ",I44="Да"),Настройки!$B$7*Настройки!$A$53,0)))</f>
        <v/>
      </c>
      <c r="N44" s="34"/>
      <c r="O44" s="34"/>
      <c r="P44" s="34"/>
      <c r="Q44" s="34"/>
      <c r="R44" s="35" t="str">
        <f aca="false">IF(OR($A44="",N44=""),"",MIN(IF($B44="ТТП",IF(N44/Настройки!$C$8&gt;=Настройки!$B$23,5,IF(N44/Настройки!$C$8&gt;=Настройки!$B$24,4,IF(N44/Настройки!$C$8&gt;=Настройки!$B$25,3,2))),IF($B44="ТТМ",IF(N44/Настройки!$C$8&gt;=Настройки!$B$29,5,IF(N44/Настройки!$C$8&gt;=Настройки!$B$30,4,IF(N44/Настройки!$C$8&gt;=Настройки!$B$31,3,2))),"")),IF($B44&lt;&gt;"ТТП",5,IF(O44="Да",5,4)),IFERROR(VLOOKUP(P44,Настройки!$A$35:$B$37,2,FALSE()),5),IFERROR(VLOOKUP(Q44,Настройки!$A$41:$B$44,2,FALSE()),5)))</f>
        <v/>
      </c>
      <c r="S44" s="36" t="str">
        <f aca="false">IF(R44="","",MIN(Настройки!$B$8,Настройки!$B$8*VLOOKUP(R44,Настройки!$A$16:$B$19,2,FALSE())+IF(AND($B44="ТТМ",O44="Да"),Настройки!$B$8*Настройки!$A$53,0)))</f>
        <v/>
      </c>
      <c r="T44" s="34"/>
      <c r="U44" s="34"/>
      <c r="V44" s="34"/>
      <c r="W44" s="34"/>
      <c r="X44" s="35" t="str">
        <f aca="false">IF(OR($A44="",T44=""),"",MIN(IF($B44="ТТП",IF(T44/Настройки!$C$9&gt;=Настройки!$B$23,5,IF(T44/Настройки!$C$9&gt;=Настройки!$B$24,4,IF(T44/Настройки!$C$9&gt;=Настройки!$B$25,3,2))),IF($B44="ТТМ",IF(T44/Настройки!$C$9&gt;=Настройки!$B$29,5,IF(T44/Настройки!$C$9&gt;=Настройки!$B$30,4,IF(T44/Настройки!$C$9&gt;=Настройки!$B$31,3,2))),"")),IF($B44&lt;&gt;"ТТП",5,IF(U44="Да",5,4)),IFERROR(VLOOKUP(V44,Настройки!$A$35:$B$37,2,FALSE()),5),IFERROR(VLOOKUP(W44,Настройки!$A$41:$B$44,2,FALSE()),5)))</f>
        <v/>
      </c>
      <c r="Y44" s="36" t="str">
        <f aca="false">IF(X44="","",MIN(Настройки!$B$9,Настройки!$B$9*VLOOKUP(X44,Настройки!$A$16:$B$19,2,FALSE())+IF(AND($B44="ТТМ",U44="Да"),Настройки!$B$9*Настройки!$A$53,0)))</f>
        <v/>
      </c>
      <c r="Z44" s="34"/>
      <c r="AA44" s="34"/>
      <c r="AB44" s="34"/>
      <c r="AC44" s="34"/>
      <c r="AD44" s="35" t="str">
        <f aca="false">IF(OR($A44="",Z44=""),"",MIN(IF($B44="ТТП",IF(Z44/Настройки!$C$10&gt;=Настройки!$B$23,5,IF(Z44/Настройки!$C$10&gt;=Настройки!$B$24,4,IF(Z44/Настройки!$C$10&gt;=Настройки!$B$25,3,2))),IF($B44="ТТМ",IF(Z44/Настройки!$C$10&gt;=Настройки!$B$29,5,IF(Z44/Настройки!$C$10&gt;=Настройки!$B$30,4,IF(Z44/Настройки!$C$10&gt;=Настройки!$B$31,3,2))),"")),IF($B44&lt;&gt;"ТТП",5,IF(AA44="Да",5,4)),IFERROR(VLOOKUP(AB44,Настройки!$A$35:$B$37,2,FALSE()),5),IFERROR(VLOOKUP(AC44,Настройки!$A$41:$B$44,2,FALSE()),5)))</f>
        <v/>
      </c>
      <c r="AE44" s="36" t="str">
        <f aca="false">IF(AD44="","",MIN(Настройки!$B$10,Настройки!$B$10*VLOOKUP(AD44,Настройки!$A$16:$B$19,2,FALSE())+IF(AND($B44="ТТМ",AA44="Да"),Настройки!$B$10*Настройки!$A$53,0)))</f>
        <v/>
      </c>
      <c r="AF44" s="34"/>
      <c r="AG44" s="34"/>
      <c r="AH44" s="34"/>
      <c r="AI44" s="34"/>
      <c r="AJ44" s="35" t="str">
        <f aca="false">IF(OR($A44="",AF44=""),"",MIN(IF($B44="ТТП",IF(AF44/Настройки!$C$11&gt;=Настройки!$B$23,5,IF(AF44/Настройки!$C$11&gt;=Настройки!$B$24,4,IF(AF44/Настройки!$C$11&gt;=Настройки!$B$25,3,2))),IF($B44="ТТМ",IF(AF44/Настройки!$C$11&gt;=Настройки!$B$29,5,IF(AF44/Настройки!$C$11&gt;=Настройки!$B$30,4,IF(AF44/Настройки!$C$11&gt;=Настройки!$B$31,3,2))),"")),IF($B44&lt;&gt;"ТТП",5,IF(AG44="Да",5,4)),IFERROR(VLOOKUP(AH44,Настройки!$A$35:$B$37,2,FALSE()),5),IFERROR(VLOOKUP(AI44,Настройки!$A$41:$B$44,2,FALSE()),5)))</f>
        <v/>
      </c>
      <c r="AK44" s="36" t="str">
        <f aca="false">IF(AJ44="","",MIN(Настройки!$B$11,Настройки!$B$11*VLOOKUP(AJ44,Настройки!$A$16:$B$19,2,FALSE())+IF(AND($B44="ТТМ",AG44="Да"),Настройки!$B$11*Настройки!$A$53,0)))</f>
        <v/>
      </c>
      <c r="AL44" s="34"/>
      <c r="AM44" s="34"/>
      <c r="AN44" s="34"/>
      <c r="AO44" s="35" t="str">
        <f aca="false">IF(OR($A44="",AL44=""),"",MIN(IF($B44="ТТП",IF(AL44/Настройки!$C$57&gt;=Настройки!$B$23,5,IF(AL44/Настройки!$C$57&gt;=Настройки!$B$24,4,IF(AL44/Настройки!$C$57&gt;=Настройки!$B$25,3,2))),IF($B44="ТТМ",IF(AL44/Настройки!$C$57&gt;=Настройки!$B$29,5,IF(AL44/Настройки!$C$57&gt;=Настройки!$B$30,4,IF(AL44/Настройки!$C$57&gt;=Настройки!$B$31,3,2))),"")),IF($B44&lt;&gt;"ТТП",5,IF(AM44="Да",5,4)),IFERROR(VLOOKUP(AN44,Настройки!$A$35:$B$37,2,FALSE()),5)))</f>
        <v/>
      </c>
      <c r="AP44" s="36" t="str">
        <f aca="false">IF(AO44="","",MIN(Настройки!$B$57,Настройки!$B$57*VLOOKUP(AO44,Настройки!$A$16:$B$19,2,FALSE())+IF(AND($B44="ТТМ",AM44="Да"),Настройки!$B$57*Настройки!$A$53,0)))</f>
        <v/>
      </c>
      <c r="AQ44" s="36" t="str">
        <f aca="false">IF($A44="","",SUM(G44,M44,S44,Y44,AE44,AK44)+IF(AP44="",0,AP44))</f>
        <v/>
      </c>
      <c r="AR44" s="37" t="str">
        <f aca="false">IF(AQ44="","",VLOOKUP(AQ44,Настройки!$A$48:$B$51,2,TRUE()))</f>
        <v/>
      </c>
    </row>
    <row r="45" customFormat="false" ht="15" hidden="false" customHeight="true" outlineLevel="0" collapsed="false">
      <c r="A45" s="10"/>
      <c r="B45" s="34"/>
      <c r="C45" s="34"/>
      <c r="D45" s="34"/>
      <c r="E45" s="34"/>
      <c r="F45" s="35" t="str">
        <f aca="false">IF(OR($A45="",C45=""),"",MIN(IF($B45="ТТП",IF(C45/Настройки!$C$6&gt;=Настройки!$B$23,5,IF(C45/Настройки!$C$6&gt;=Настройки!$B$24,4,IF(C45/Настройки!$C$6&gt;=Настройки!$B$25,3,2))),IF($B45="ТТМ",IF(C45/Настройки!$C$6&gt;=Настройки!$B$29,5,IF(C45/Настройки!$C$6&gt;=Настройки!$B$30,4,IF(C45/Настройки!$C$6&gt;=Настройки!$B$31,3,2))),"")),IFERROR(VLOOKUP(D45,Настройки!$A$35:$B$37,2,FALSE()),5),IFERROR(VLOOKUP(E45,Настройки!$A$41:$B$44,2,FALSE()),5)))</f>
        <v/>
      </c>
      <c r="G45" s="36" t="str">
        <f aca="false">IF(F45="","",Настройки!$B$6*VLOOKUP(F45,Настройки!$A$16:$B$19,2,FALSE()))</f>
        <v/>
      </c>
      <c r="H45" s="34"/>
      <c r="I45" s="34"/>
      <c r="J45" s="34"/>
      <c r="K45" s="34"/>
      <c r="L45" s="35" t="str">
        <f aca="false">IF(OR($A45="",H45=""),"",MIN(IF($B45="ТТП",IF(H45/Настройки!$C$7&gt;=Настройки!$B$23,5,IF(H45/Настройки!$C$7&gt;=Настройки!$B$24,4,IF(H45/Настройки!$C$7&gt;=Настройки!$B$25,3,2))),IF($B45="ТТМ",IF(H45/Настройки!$C$7&gt;=Настройки!$B$29,5,IF(H45/Настройки!$C$7&gt;=Настройки!$B$30,4,IF(H45/Настройки!$C$7&gt;=Настройки!$B$31,3,2))),"")),IF($B45&lt;&gt;"ТТП",5,IF(I45="Да",5,4)),IFERROR(VLOOKUP(J45,Настройки!$A$35:$B$37,2,FALSE()),5),IFERROR(VLOOKUP(K45,Настройки!$A$41:$B$44,2,FALSE()),5)))</f>
        <v/>
      </c>
      <c r="M45" s="36" t="str">
        <f aca="false">IF(L45="","",MIN(Настройки!$B$7,Настройки!$B$7*VLOOKUP(L45,Настройки!$A$16:$B$19,2,FALSE())+IF(AND($B45="ТТМ",I45="Да"),Настройки!$B$7*Настройки!$A$53,0)))</f>
        <v/>
      </c>
      <c r="N45" s="34"/>
      <c r="O45" s="34"/>
      <c r="P45" s="34"/>
      <c r="Q45" s="34"/>
      <c r="R45" s="35" t="str">
        <f aca="false">IF(OR($A45="",N45=""),"",MIN(IF($B45="ТТП",IF(N45/Настройки!$C$8&gt;=Настройки!$B$23,5,IF(N45/Настройки!$C$8&gt;=Настройки!$B$24,4,IF(N45/Настройки!$C$8&gt;=Настройки!$B$25,3,2))),IF($B45="ТТМ",IF(N45/Настройки!$C$8&gt;=Настройки!$B$29,5,IF(N45/Настройки!$C$8&gt;=Настройки!$B$30,4,IF(N45/Настройки!$C$8&gt;=Настройки!$B$31,3,2))),"")),IF($B45&lt;&gt;"ТТП",5,IF(O45="Да",5,4)),IFERROR(VLOOKUP(P45,Настройки!$A$35:$B$37,2,FALSE()),5),IFERROR(VLOOKUP(Q45,Настройки!$A$41:$B$44,2,FALSE()),5)))</f>
        <v/>
      </c>
      <c r="S45" s="36" t="str">
        <f aca="false">IF(R45="","",MIN(Настройки!$B$8,Настройки!$B$8*VLOOKUP(R45,Настройки!$A$16:$B$19,2,FALSE())+IF(AND($B45="ТТМ",O45="Да"),Настройки!$B$8*Настройки!$A$53,0)))</f>
        <v/>
      </c>
      <c r="T45" s="34"/>
      <c r="U45" s="34"/>
      <c r="V45" s="34"/>
      <c r="W45" s="34"/>
      <c r="X45" s="35" t="str">
        <f aca="false">IF(OR($A45="",T45=""),"",MIN(IF($B45="ТТП",IF(T45/Настройки!$C$9&gt;=Настройки!$B$23,5,IF(T45/Настройки!$C$9&gt;=Настройки!$B$24,4,IF(T45/Настройки!$C$9&gt;=Настройки!$B$25,3,2))),IF($B45="ТТМ",IF(T45/Настройки!$C$9&gt;=Настройки!$B$29,5,IF(T45/Настройки!$C$9&gt;=Настройки!$B$30,4,IF(T45/Настройки!$C$9&gt;=Настройки!$B$31,3,2))),"")),IF($B45&lt;&gt;"ТТП",5,IF(U45="Да",5,4)),IFERROR(VLOOKUP(V45,Настройки!$A$35:$B$37,2,FALSE()),5),IFERROR(VLOOKUP(W45,Настройки!$A$41:$B$44,2,FALSE()),5)))</f>
        <v/>
      </c>
      <c r="Y45" s="36" t="str">
        <f aca="false">IF(X45="","",MIN(Настройки!$B$9,Настройки!$B$9*VLOOKUP(X45,Настройки!$A$16:$B$19,2,FALSE())+IF(AND($B45="ТТМ",U45="Да"),Настройки!$B$9*Настройки!$A$53,0)))</f>
        <v/>
      </c>
      <c r="Z45" s="34"/>
      <c r="AA45" s="34"/>
      <c r="AB45" s="34"/>
      <c r="AC45" s="34"/>
      <c r="AD45" s="35" t="str">
        <f aca="false">IF(OR($A45="",Z45=""),"",MIN(IF($B45="ТТП",IF(Z45/Настройки!$C$10&gt;=Настройки!$B$23,5,IF(Z45/Настройки!$C$10&gt;=Настройки!$B$24,4,IF(Z45/Настройки!$C$10&gt;=Настройки!$B$25,3,2))),IF($B45="ТТМ",IF(Z45/Настройки!$C$10&gt;=Настройки!$B$29,5,IF(Z45/Настройки!$C$10&gt;=Настройки!$B$30,4,IF(Z45/Настройки!$C$10&gt;=Настройки!$B$31,3,2))),"")),IF($B45&lt;&gt;"ТТП",5,IF(AA45="Да",5,4)),IFERROR(VLOOKUP(AB45,Настройки!$A$35:$B$37,2,FALSE()),5),IFERROR(VLOOKUP(AC45,Настройки!$A$41:$B$44,2,FALSE()),5)))</f>
        <v/>
      </c>
      <c r="AE45" s="36" t="str">
        <f aca="false">IF(AD45="","",MIN(Настройки!$B$10,Настройки!$B$10*VLOOKUP(AD45,Настройки!$A$16:$B$19,2,FALSE())+IF(AND($B45="ТТМ",AA45="Да"),Настройки!$B$10*Настройки!$A$53,0)))</f>
        <v/>
      </c>
      <c r="AF45" s="34"/>
      <c r="AG45" s="34"/>
      <c r="AH45" s="34"/>
      <c r="AI45" s="34"/>
      <c r="AJ45" s="35" t="str">
        <f aca="false">IF(OR($A45="",AF45=""),"",MIN(IF($B45="ТТП",IF(AF45/Настройки!$C$11&gt;=Настройки!$B$23,5,IF(AF45/Настройки!$C$11&gt;=Настройки!$B$24,4,IF(AF45/Настройки!$C$11&gt;=Настройки!$B$25,3,2))),IF($B45="ТТМ",IF(AF45/Настройки!$C$11&gt;=Настройки!$B$29,5,IF(AF45/Настройки!$C$11&gt;=Настройки!$B$30,4,IF(AF45/Настройки!$C$11&gt;=Настройки!$B$31,3,2))),"")),IF($B45&lt;&gt;"ТТП",5,IF(AG45="Да",5,4)),IFERROR(VLOOKUP(AH45,Настройки!$A$35:$B$37,2,FALSE()),5),IFERROR(VLOOKUP(AI45,Настройки!$A$41:$B$44,2,FALSE()),5)))</f>
        <v/>
      </c>
      <c r="AK45" s="36" t="str">
        <f aca="false">IF(AJ45="","",MIN(Настройки!$B$11,Настройки!$B$11*VLOOKUP(AJ45,Настройки!$A$16:$B$19,2,FALSE())+IF(AND($B45="ТТМ",AG45="Да"),Настройки!$B$11*Настройки!$A$53,0)))</f>
        <v/>
      </c>
      <c r="AL45" s="34"/>
      <c r="AM45" s="34"/>
      <c r="AN45" s="34"/>
      <c r="AO45" s="35" t="str">
        <f aca="false">IF(OR($A45="",AL45=""),"",MIN(IF($B45="ТТП",IF(AL45/Настройки!$C$57&gt;=Настройки!$B$23,5,IF(AL45/Настройки!$C$57&gt;=Настройки!$B$24,4,IF(AL45/Настройки!$C$57&gt;=Настройки!$B$25,3,2))),IF($B45="ТТМ",IF(AL45/Настройки!$C$57&gt;=Настройки!$B$29,5,IF(AL45/Настройки!$C$57&gt;=Настройки!$B$30,4,IF(AL45/Настройки!$C$57&gt;=Настройки!$B$31,3,2))),"")),IF($B45&lt;&gt;"ТТП",5,IF(AM45="Да",5,4)),IFERROR(VLOOKUP(AN45,Настройки!$A$35:$B$37,2,FALSE()),5)))</f>
        <v/>
      </c>
      <c r="AP45" s="36" t="str">
        <f aca="false">IF(AO45="","",MIN(Настройки!$B$57,Настройки!$B$57*VLOOKUP(AO45,Настройки!$A$16:$B$19,2,FALSE())+IF(AND($B45="ТТМ",AM45="Да"),Настройки!$B$57*Настройки!$A$53,0)))</f>
        <v/>
      </c>
      <c r="AQ45" s="36" t="str">
        <f aca="false">IF($A45="","",SUM(G45,M45,S45,Y45,AE45,AK45)+IF(AP45="",0,AP45))</f>
        <v/>
      </c>
      <c r="AR45" s="37" t="str">
        <f aca="false">IF(AQ45="","",VLOOKUP(AQ45,Настройки!$A$48:$B$51,2,TRUE()))</f>
        <v/>
      </c>
    </row>
  </sheetData>
  <mergeCells count="13">
    <mergeCell ref="A2:L2"/>
    <mergeCell ref="A4:A5"/>
    <mergeCell ref="B4:B5"/>
    <mergeCell ref="C4:G4"/>
    <mergeCell ref="H4:M4"/>
    <mergeCell ref="N4:S4"/>
    <mergeCell ref="T4:Y4"/>
    <mergeCell ref="Z4:AE4"/>
    <mergeCell ref="AF4:AK4"/>
    <mergeCell ref="AL4:AL5"/>
    <mergeCell ref="AM4:AM5"/>
    <mergeCell ref="AQ4:AQ5"/>
    <mergeCell ref="AR4:AR5"/>
  </mergeCells>
  <dataValidations count="6">
    <dataValidation allowBlank="true" errorStyle="stop" operator="between" showDropDown="false" showErrorMessage="false" showInputMessage="false" sqref="B6:B45" type="list">
      <formula1>"ТТП,ТТМ"</formula1>
      <formula2>0</formula2>
    </dataValidation>
    <dataValidation allowBlank="true" errorStyle="stop" operator="between" showDropDown="false" showErrorMessage="false" showInputMessage="false" sqref="I6:I45 O6:O45 U6:U45 AA6:AA45 AG6:AG45" type="list">
      <formula1>"Да,Нет"</formula1>
      <formula2>0</formula2>
    </dataValidation>
    <dataValidation allowBlank="true" errorStyle="stop" operator="between" showDropDown="false" showErrorMessage="false" showInputMessage="false" sqref="D6:D45 J6:J45 P6:P45 V6:V45 AB6:AB45 AH6:AH45" type="list">
      <formula1>"Уверенно,Частично,Не может объяснить"</formula1>
      <formula2>0</formula2>
    </dataValidation>
    <dataValidation allowBlank="true" errorStyle="stop" operator="between" showDropDown="false" showErrorMessage="false" showInputMessage="false" sqref="E6:E45 K6:K45 Q6:Q45 W6:W45 AC6:AC45 AI6:AI45" type="list">
      <formula1>"0,1,2,3"</formula1>
      <formula2>0</formula2>
    </dataValidation>
    <dataValidation allowBlank="true" errorStyle="stop" operator="between" showDropDown="false" showErrorMessage="false" showInputMessage="false" sqref="AM6:AM45" type="list">
      <formula1>"Да,Нет"</formula1>
      <formula2>0</formula2>
    </dataValidation>
    <dataValidation allowBlank="true" errorStyle="stop" operator="between" showDropDown="false" showErrorMessage="false" showInputMessage="false" sqref="AN6:AN45" type="list">
      <formula1>"Уверенно,Частично,Не может объяснить"</formula1>
      <formula2>0</formula2>
    </dataValidation>
  </dataValidation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2026-09-09T15:14:39Z</dcterms:created>
  <dc:creator>openpyxl</dc:creator>
  <dc:description/>
  <dc:language>en-US</dc:language>
  <cp:lastModifiedBy/>
  <dcterms:modified xsi:type="dcterms:W3CDTF">2026-09-10T16:22:22Z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